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равнение цен" state="visible" r:id="rId4"/>
  </sheets>
  <calcPr calcId="171027"/>
</workbook>
</file>

<file path=xl/sharedStrings.xml><?xml version="1.0" encoding="utf-8"?>
<sst xmlns="http://schemas.openxmlformats.org/spreadsheetml/2006/main" count="185" uniqueCount="83">
  <si>
    <t>Сравнение цен LIS-SKINS vs SteamDT (Steam/BUFF/YouPin), обновлено 28.09.2026 17:17</t>
  </si>
  <si>
    <t>Список: https://lis-skins.com/ru/market/cs2/?user_list_id=01kvbgbzhn0acjzykwfagmc96y</t>
  </si>
  <si>
    <t>Курс USD→RUB</t>
  </si>
  <si>
    <t/>
  </si>
  <si>
    <t>Курс CNY→RUB</t>
  </si>
  <si>
    <t>Скин</t>
  </si>
  <si>
    <t>Кол-во</t>
  </si>
  <si>
    <t>LIS-SKINS $</t>
  </si>
  <si>
    <t>LIS-SKINS ₽</t>
  </si>
  <si>
    <t>Steam ₽</t>
  </si>
  <si>
    <t>BUFF ₽</t>
  </si>
  <si>
    <t>YouPin ₽</t>
  </si>
  <si>
    <t>Лучшая SteamDT ₽</t>
  </si>
  <si>
    <t>Разница ₽</t>
  </si>
  <si>
    <t>Разница %</t>
  </si>
  <si>
    <t>Категория</t>
  </si>
  <si>
    <t>Редкость</t>
  </si>
  <si>
    <t>CZ75-Auto | Emerald (Factory New)</t>
  </si>
  <si>
    <t>Pistol</t>
  </si>
  <si>
    <t>Mil-Spec Grade</t>
  </si>
  <si>
    <t>UMP-45 | Blaze (Factory New)</t>
  </si>
  <si>
    <t>SMG</t>
  </si>
  <si>
    <t>M4A4 | Polysoup (Factory New)</t>
  </si>
  <si>
    <t>Rifle</t>
  </si>
  <si>
    <t>Restricted</t>
  </si>
  <si>
    <t>M4A4 | Polysoup (Minimal Wear)</t>
  </si>
  <si>
    <t>Desert Eagle | Starcade (Field-Tested)</t>
  </si>
  <si>
    <t>Classified</t>
  </si>
  <si>
    <t>Galil AR | Cerberus (Field-Tested)</t>
  </si>
  <si>
    <t>FAMAS | Styx (Minimal Wear)</t>
  </si>
  <si>
    <t>FAMAS | Styx (Field-Tested)</t>
  </si>
  <si>
    <t>SG 553 | Integrale (Field-Tested)</t>
  </si>
  <si>
    <t>MAC-10 | Fade (Factory New)</t>
  </si>
  <si>
    <t>R8 Revolver | Blaze (Factory New)</t>
  </si>
  <si>
    <t>Sticker | Cloud9 (Holo) | Antwerp 2022</t>
  </si>
  <si>
    <t>Sticker</t>
  </si>
  <si>
    <t>Exotic</t>
  </si>
  <si>
    <t>Sticker | 9z Team (Holo) | Antwerp 2022</t>
  </si>
  <si>
    <t>Sticker | Outsiders (Holo) | Antwerp 2022</t>
  </si>
  <si>
    <t>Sticker | Copenhagen Flames (Holo) | Antwerp 2022</t>
  </si>
  <si>
    <t>Sticker | Team Spirit (Holo) | Antwerp 2022</t>
  </si>
  <si>
    <t>Sticker | G2 Esports (Holo) | Antwerp 2022</t>
  </si>
  <si>
    <t>Sticker | Complexity Gaming (Holo) | Antwerp 2022</t>
  </si>
  <si>
    <t>Sticker | Copenhagen Flames (Holo) | Stockholm 2021</t>
  </si>
  <si>
    <t>Remarkable</t>
  </si>
  <si>
    <t>Sticker | Entropiq (Holo) | Stockholm 2021</t>
  </si>
  <si>
    <t>Sticker | Team Spirit (Holo) | Stockholm 2021</t>
  </si>
  <si>
    <t>Sticker | Virtus.Pro (Holo) | Stockholm 2021</t>
  </si>
  <si>
    <t>Sticker | GODSENT (Holo) | Stockholm 2021</t>
  </si>
  <si>
    <t>Sticker | BIG (Holo) | Stockholm 2021</t>
  </si>
  <si>
    <t>Sticker | FURIA (Holo) | Stockholm 2021</t>
  </si>
  <si>
    <t>Sticker | Sharks Esports (Holo) | Stockholm 2021</t>
  </si>
  <si>
    <t>Sticker | Astralis (Holo) | Stockholm 2021</t>
  </si>
  <si>
    <t>Sticker | Renegades (Holo) | Stockholm 2021</t>
  </si>
  <si>
    <t>Sticker | paiN Gaming (Holo) | Stockholm 2021</t>
  </si>
  <si>
    <t>Sticker | Gambit Gaming (Holo) | Stockholm 2021</t>
  </si>
  <si>
    <t>Sticker | Team Liquid (Holo) | Stockholm 2021</t>
  </si>
  <si>
    <t>Sticker | G2 Esports (Holo) | Stockholm 2021</t>
  </si>
  <si>
    <t>Sticker | Gold Web (Foil)</t>
  </si>
  <si>
    <t>AK-47 | Crossfade (Factory New)</t>
  </si>
  <si>
    <t>AK-47 | Crossfade (Minimal Wear)</t>
  </si>
  <si>
    <t>AUG | Carved Jade (Minimal Wear)</t>
  </si>
  <si>
    <t>AWP | Exoskeleton (Minimal Wear)</t>
  </si>
  <si>
    <t>Sniper Rifle</t>
  </si>
  <si>
    <t>AK-47 | Slate (Minimal Wear)</t>
  </si>
  <si>
    <t>AK-47 | Slate (Field-Tested)</t>
  </si>
  <si>
    <t>Sticker | Perfect World (Holo) | Shanghai 2024</t>
  </si>
  <si>
    <t>Tec-9 | Brass (Minimal Wear)</t>
  </si>
  <si>
    <t>Tec-9 | Brass (Field-Tested)</t>
  </si>
  <si>
    <t>Five-SeveN | Copper Galaxy (Minimal Wear)</t>
  </si>
  <si>
    <t>Dual Berettas | Emerald (Factory New)</t>
  </si>
  <si>
    <t>P2000 | Amber Fade (Factory New)</t>
  </si>
  <si>
    <t>AWP | Black Nile (Minimal Wear)</t>
  </si>
  <si>
    <t>CZ75-Auto | Tuxedo (Factory New)</t>
  </si>
  <si>
    <t>Galil AR | Tuxedo (Factory New)</t>
  </si>
  <si>
    <t>Glock-18 | Ramese's Reach (Field-Tested)</t>
  </si>
  <si>
    <t>Glock-18 | Ramese's Reach (Minimal Wear)</t>
  </si>
  <si>
    <t>SSG 08 | Rapid Transit (Factory New)</t>
  </si>
  <si>
    <t>Sticker | Vitality (Holo) | Stockholm 2021</t>
  </si>
  <si>
    <t>Sticker | Team Spirit (Holo) | Shanghai 2024</t>
  </si>
  <si>
    <t>USP-S | Whiteout (Field-Tested)</t>
  </si>
  <si>
    <t>Five-SeveN | Boost Protocol (Minimal Wear)</t>
  </si>
  <si>
    <t>MP7 | Fade (Minimal Wear)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</si>
</sst>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50" customWidth="1"/>
    <col min="2" max="12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5" x14ac:dyDescent="0.25">
      <c r="A3" t="s">
        <v>2</v>
      </c>
      <c r="B3">
        <v>84.3414</v>
      </c>
      <c r="C3" t="s">
        <v>3</v>
      </c>
      <c r="D3" t="s">
        <v>4</v>
      </c>
      <c r="E3">
        <v>12.6263</v>
      </c>
    </row>
    <row r="5" spans="1:12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 spans="1:12" x14ac:dyDescent="0.25">
      <c r="A6" t="s">
        <v>17</v>
      </c>
      <c r="B6">
        <v>114</v>
      </c>
      <c r="C6">
        <v>26.4</v>
      </c>
      <c r="D6">
        <f>C6*$B$3</f>
      </c>
      <c r="E6">
        <v>3298.62</v>
      </c>
      <c r="F6">
        <v>2152.15</v>
      </c>
      <c r="G6">
        <v>2167.94</v>
      </c>
      <c r="H6">
        <f>MIN(E6:G6)</f>
      </c>
      <c r="I6">
        <f>H6-D6</f>
      </c>
      <c r="J6" s="2">
        <f>IF(D6=0,"",(H6-D6)/D6)</f>
      </c>
      <c r="K6" t="s">
        <v>18</v>
      </c>
      <c r="L6" t="s">
        <v>19</v>
      </c>
    </row>
    <row r="7" spans="1:12" x14ac:dyDescent="0.25">
      <c r="A7" t="s">
        <v>20</v>
      </c>
      <c r="B7">
        <v>319</v>
      </c>
      <c r="C7">
        <v>16.78</v>
      </c>
      <c r="D7">
        <f>C7*$B$3</f>
      </c>
      <c r="E7">
        <v>1800.26</v>
      </c>
      <c r="F7">
        <v>1309.22</v>
      </c>
      <c r="G7">
        <v>1357.33</v>
      </c>
      <c r="H7">
        <f>MIN(E7:G7)</f>
      </c>
      <c r="I7">
        <f>H7-D7</f>
      </c>
      <c r="J7" s="2">
        <f>IF(D7=0,"",(H7-D7)/D7)</f>
      </c>
      <c r="K7" t="s">
        <v>21</v>
      </c>
      <c r="L7" t="s">
        <v>19</v>
      </c>
    </row>
    <row r="8" spans="1:12" x14ac:dyDescent="0.25">
      <c r="A8" t="s">
        <v>22</v>
      </c>
      <c r="B8">
        <v>428</v>
      </c>
      <c r="C8">
        <v>22.37</v>
      </c>
      <c r="D8">
        <f>C8*$B$3</f>
      </c>
      <c r="E8">
        <v>2375.51</v>
      </c>
      <c r="F8">
        <v>1729.8</v>
      </c>
      <c r="G8">
        <v>1723.49</v>
      </c>
      <c r="H8">
        <f>MIN(E8:G8)</f>
      </c>
      <c r="I8">
        <f>H8-D8</f>
      </c>
      <c r="J8" s="2">
        <f>IF(D8=0,"",(H8-D8)/D8)</f>
      </c>
      <c r="K8" t="s">
        <v>23</v>
      </c>
      <c r="L8" t="s">
        <v>24</v>
      </c>
    </row>
    <row r="9" spans="1:12" x14ac:dyDescent="0.25">
      <c r="A9" t="s">
        <v>25</v>
      </c>
      <c r="B9">
        <v>188</v>
      </c>
      <c r="C9">
        <v>12.86</v>
      </c>
      <c r="D9">
        <f>C9*$B$3</f>
      </c>
      <c r="E9">
        <v>1611.12</v>
      </c>
      <c r="F9">
        <v>1007.33</v>
      </c>
      <c r="G9">
        <v>991.04</v>
      </c>
      <c r="H9">
        <f>MIN(E9:G9)</f>
      </c>
      <c r="I9">
        <f>H9-D9</f>
      </c>
      <c r="J9" s="2">
        <f>IF(D9=0,"",(H9-D9)/D9)</f>
      </c>
      <c r="K9" t="s">
        <v>23</v>
      </c>
      <c r="L9" t="s">
        <v>24</v>
      </c>
    </row>
    <row r="10" spans="1:12" x14ac:dyDescent="0.25">
      <c r="A10" t="s">
        <v>26</v>
      </c>
      <c r="B10">
        <v>219</v>
      </c>
      <c r="C10">
        <v>36.65</v>
      </c>
      <c r="D10">
        <f>C10*$B$3</f>
      </c>
      <c r="E10">
        <v>4326.02</v>
      </c>
      <c r="F10">
        <v>3027.79</v>
      </c>
      <c r="G10">
        <v>2929.3</v>
      </c>
      <c r="H10">
        <f>MIN(E10:G10)</f>
      </c>
      <c r="I10">
        <f>H10-D10</f>
      </c>
      <c r="J10" s="2">
        <f>IF(D10=0,"",(H10-D10)/D10)</f>
      </c>
      <c r="K10" t="s">
        <v>18</v>
      </c>
      <c r="L10" t="s">
        <v>27</v>
      </c>
    </row>
    <row r="11" spans="1:12" x14ac:dyDescent="0.25">
      <c r="A11" t="s">
        <v>28</v>
      </c>
      <c r="B11">
        <v>135</v>
      </c>
      <c r="C11">
        <v>24.89</v>
      </c>
      <c r="D11">
        <f>C11*$B$3</f>
      </c>
      <c r="E11">
        <v>2899.88</v>
      </c>
      <c r="F11">
        <v>2058.09</v>
      </c>
      <c r="G11">
        <v>2056.82</v>
      </c>
      <c r="H11">
        <f>MIN(E11:G11)</f>
      </c>
      <c r="I11">
        <f>H11-D11</f>
      </c>
      <c r="J11" s="2">
        <f>IF(D11=0,"",(H11-D11)/D11)</f>
      </c>
      <c r="K11" t="s">
        <v>23</v>
      </c>
      <c r="L11" t="s">
        <v>24</v>
      </c>
    </row>
    <row r="12" spans="1:12" x14ac:dyDescent="0.25">
      <c r="A12" t="s">
        <v>29</v>
      </c>
      <c r="B12">
        <v>67</v>
      </c>
      <c r="C12">
        <v>17.11</v>
      </c>
      <c r="D12">
        <f>C12*$B$3</f>
      </c>
      <c r="E12">
        <v>1723.11</v>
      </c>
      <c r="F12">
        <v>1325.76</v>
      </c>
      <c r="G12">
        <v>1375</v>
      </c>
      <c r="H12">
        <f>MIN(E12:G12)</f>
      </c>
      <c r="I12">
        <f>H12-D12</f>
      </c>
      <c r="J12" s="2">
        <f>IF(D12=0,"",(H12-D12)/D12)</f>
      </c>
      <c r="K12" t="s">
        <v>23</v>
      </c>
      <c r="L12" t="s">
        <v>24</v>
      </c>
    </row>
    <row r="13" spans="1:12" x14ac:dyDescent="0.25">
      <c r="A13" t="s">
        <v>30</v>
      </c>
      <c r="B13">
        <v>123</v>
      </c>
      <c r="C13">
        <v>8.89</v>
      </c>
      <c r="D13">
        <f>C13*$B$3</f>
      </c>
      <c r="E13">
        <v>967.17</v>
      </c>
      <c r="F13">
        <v>767.81</v>
      </c>
      <c r="G13">
        <v>732.2</v>
      </c>
      <c r="H13">
        <f>MIN(E13:G13)</f>
      </c>
      <c r="I13">
        <f>H13-D13</f>
      </c>
      <c r="J13" s="2">
        <f>IF(D13=0,"",(H13-D13)/D13)</f>
      </c>
      <c r="K13" t="s">
        <v>23</v>
      </c>
      <c r="L13" t="s">
        <v>24</v>
      </c>
    </row>
    <row r="14" spans="1:12" x14ac:dyDescent="0.25">
      <c r="A14" t="s">
        <v>31</v>
      </c>
      <c r="B14">
        <v>274</v>
      </c>
      <c r="C14">
        <v>6.27</v>
      </c>
      <c r="D14">
        <f>C14*$B$3</f>
      </c>
      <c r="E14">
        <v>868.69</v>
      </c>
      <c r="F14">
        <v>503.79</v>
      </c>
      <c r="G14">
        <v>511.24</v>
      </c>
      <c r="H14">
        <f>MIN(E14:G14)</f>
      </c>
      <c r="I14">
        <f>H14-D14</f>
      </c>
      <c r="J14" s="2">
        <f>IF(D14=0,"",(H14-D14)/D14)</f>
      </c>
      <c r="K14" t="s">
        <v>23</v>
      </c>
      <c r="L14" t="s">
        <v>27</v>
      </c>
    </row>
    <row r="15" spans="1:12" x14ac:dyDescent="0.25">
      <c r="A15" t="s">
        <v>32</v>
      </c>
      <c r="B15">
        <v>411</v>
      </c>
      <c r="C15">
        <v>39.94</v>
      </c>
      <c r="D15">
        <f>C15*$B$3</f>
      </c>
      <c r="E15">
        <v>4225.9</v>
      </c>
      <c r="F15">
        <v>3307.71</v>
      </c>
      <c r="G15">
        <v>3290.16</v>
      </c>
      <c r="H15">
        <f>MIN(E15:G15)</f>
      </c>
      <c r="I15">
        <f>H15-D15</f>
      </c>
      <c r="J15" s="2">
        <f>IF(D15=0,"",(H15-D15)/D15)</f>
      </c>
      <c r="K15" t="s">
        <v>21</v>
      </c>
      <c r="L15" t="s">
        <v>19</v>
      </c>
    </row>
    <row r="16" spans="1:12" x14ac:dyDescent="0.25">
      <c r="A16" t="s">
        <v>33</v>
      </c>
      <c r="B16">
        <v>694</v>
      </c>
      <c r="C16">
        <v>2.72</v>
      </c>
      <c r="D16">
        <f>C16*$B$3</f>
      </c>
      <c r="E16">
        <v>345.2</v>
      </c>
      <c r="F16">
        <v>224.75</v>
      </c>
      <c r="G16">
        <v>208.84</v>
      </c>
      <c r="H16">
        <f>MIN(E16:G16)</f>
      </c>
      <c r="I16">
        <f>H16-D16</f>
      </c>
      <c r="J16" s="2">
        <f>IF(D16=0,"",(H16-D16)/D16)</f>
      </c>
      <c r="K16" t="s">
        <v>18</v>
      </c>
      <c r="L16" t="s">
        <v>19</v>
      </c>
    </row>
    <row r="17" spans="1:12" x14ac:dyDescent="0.25">
      <c r="A17" t="s">
        <v>34</v>
      </c>
      <c r="B17">
        <v>200</v>
      </c>
      <c r="C17">
        <v>8.72</v>
      </c>
      <c r="D17">
        <f>C17*$B$3</f>
      </c>
      <c r="E17">
        <v>990.03</v>
      </c>
      <c r="F17">
        <v>693.18</v>
      </c>
      <c r="G17">
        <v>679.29</v>
      </c>
      <c r="H17">
        <f>MIN(E17:G17)</f>
      </c>
      <c r="I17">
        <f>H17-D17</f>
      </c>
      <c r="J17" s="2">
        <f>IF(D17=0,"",(H17-D17)/D17)</f>
      </c>
      <c r="K17" t="s">
        <v>35</v>
      </c>
      <c r="L17" t="s">
        <v>36</v>
      </c>
    </row>
    <row r="18" spans="1:12" x14ac:dyDescent="0.25">
      <c r="A18" t="s">
        <v>37</v>
      </c>
      <c r="B18">
        <v>103</v>
      </c>
      <c r="C18">
        <v>6.13</v>
      </c>
      <c r="D18">
        <f>C18*$B$3</f>
      </c>
      <c r="E18">
        <v>772.86</v>
      </c>
      <c r="F18">
        <v>516.54</v>
      </c>
      <c r="G18">
        <v>530.3</v>
      </c>
      <c r="H18">
        <f>MIN(E18:G18)</f>
      </c>
      <c r="I18">
        <f>H18-D18</f>
      </c>
      <c r="J18" s="2">
        <f>IF(D18=0,"",(H18-D18)/D18)</f>
      </c>
      <c r="K18" t="s">
        <v>35</v>
      </c>
      <c r="L18" t="s">
        <v>36</v>
      </c>
    </row>
    <row r="19" spans="1:12" x14ac:dyDescent="0.25">
      <c r="A19" t="s">
        <v>38</v>
      </c>
      <c r="B19">
        <v>121</v>
      </c>
      <c r="C19">
        <v>5.57</v>
      </c>
      <c r="D19">
        <f>C19*$B$3</f>
      </c>
      <c r="E19">
        <v>620.08</v>
      </c>
      <c r="F19">
        <v>433.59</v>
      </c>
      <c r="G19">
        <v>415.41</v>
      </c>
      <c r="H19">
        <f>MIN(E19:G19)</f>
      </c>
      <c r="I19">
        <f>H19-D19</f>
      </c>
      <c r="J19" s="2">
        <f>IF(D19=0,"",(H19-D19)/D19)</f>
      </c>
      <c r="K19" t="s">
        <v>35</v>
      </c>
      <c r="L19" t="s">
        <v>36</v>
      </c>
    </row>
    <row r="20" spans="1:12" x14ac:dyDescent="0.25">
      <c r="A20" t="s">
        <v>39</v>
      </c>
      <c r="B20">
        <v>311</v>
      </c>
      <c r="C20">
        <v>3.53</v>
      </c>
      <c r="D20">
        <f>C20*$B$3</f>
      </c>
      <c r="E20">
        <v>381.69</v>
      </c>
      <c r="F20">
        <v>294.45</v>
      </c>
      <c r="G20">
        <v>295.46</v>
      </c>
      <c r="H20">
        <f>MIN(E20:G20)</f>
      </c>
      <c r="I20">
        <f>H20-D20</f>
      </c>
      <c r="J20" s="2">
        <f>IF(D20=0,"",(H20-D20)/D20)</f>
      </c>
      <c r="K20" t="s">
        <v>35</v>
      </c>
      <c r="L20" t="s">
        <v>36</v>
      </c>
    </row>
    <row r="21" spans="1:12" x14ac:dyDescent="0.25">
      <c r="A21" t="s">
        <v>40</v>
      </c>
      <c r="B21">
        <v>55</v>
      </c>
      <c r="C21">
        <v>4.08</v>
      </c>
      <c r="D21">
        <f>C21*$B$3</f>
      </c>
      <c r="E21">
        <v>534.47</v>
      </c>
      <c r="F21">
        <v>331.06</v>
      </c>
      <c r="G21">
        <v>353.54</v>
      </c>
      <c r="H21">
        <f>MIN(E21:G21)</f>
      </c>
      <c r="I21">
        <f>H21-D21</f>
      </c>
      <c r="J21" s="2">
        <f>IF(D21=0,"",(H21-D21)/D21)</f>
      </c>
      <c r="K21" t="s">
        <v>35</v>
      </c>
      <c r="L21" t="s">
        <v>36</v>
      </c>
    </row>
    <row r="22" spans="1:12" x14ac:dyDescent="0.25">
      <c r="A22" t="s">
        <v>41</v>
      </c>
      <c r="B22">
        <v>55</v>
      </c>
      <c r="C22">
        <v>2.93</v>
      </c>
      <c r="D22">
        <f>C22*$B$3</f>
      </c>
      <c r="E22">
        <v>477.65</v>
      </c>
      <c r="F22">
        <v>265.91</v>
      </c>
      <c r="G22">
        <v>216.67</v>
      </c>
      <c r="H22">
        <f>MIN(E22:G22)</f>
      </c>
      <c r="I22">
        <f>H22-D22</f>
      </c>
      <c r="J22" s="2">
        <f>IF(D22=0,"",(H22-D22)/D22)</f>
      </c>
      <c r="K22" t="s">
        <v>35</v>
      </c>
      <c r="L22" t="s">
        <v>36</v>
      </c>
    </row>
    <row r="23" spans="1:12" x14ac:dyDescent="0.25">
      <c r="A23" t="s">
        <v>42</v>
      </c>
      <c r="B23">
        <v>52</v>
      </c>
      <c r="C23">
        <v>3.35</v>
      </c>
      <c r="D23">
        <f>C23*$B$3</f>
      </c>
      <c r="E23">
        <v>482.7</v>
      </c>
      <c r="F23">
        <v>262.37</v>
      </c>
      <c r="G23">
        <v>294.19</v>
      </c>
      <c r="H23">
        <f>MIN(E23:G23)</f>
      </c>
      <c r="I23">
        <f>H23-D23</f>
      </c>
      <c r="J23" s="2">
        <f>IF(D23=0,"",(H23-D23)/D23)</f>
      </c>
      <c r="K23" t="s">
        <v>35</v>
      </c>
      <c r="L23" t="s">
        <v>36</v>
      </c>
    </row>
    <row r="24" spans="1:12" x14ac:dyDescent="0.25">
      <c r="A24" t="s">
        <v>43</v>
      </c>
      <c r="B24">
        <v>301</v>
      </c>
      <c r="C24">
        <v>6.37</v>
      </c>
      <c r="D24">
        <f>C24*$B$3</f>
      </c>
      <c r="E24">
        <v>629.42</v>
      </c>
      <c r="F24">
        <v>459.98</v>
      </c>
      <c r="G24">
        <v>465.78</v>
      </c>
      <c r="H24">
        <f>MIN(E24:G24)</f>
      </c>
      <c r="I24">
        <f>H24-D24</f>
      </c>
      <c r="J24" s="2">
        <f>IF(D24=0,"",(H24-D24)/D24)</f>
      </c>
      <c r="K24" t="s">
        <v>35</v>
      </c>
      <c r="L24" t="s">
        <v>44</v>
      </c>
    </row>
    <row r="25" spans="1:12" x14ac:dyDescent="0.25">
      <c r="A25" t="s">
        <v>45</v>
      </c>
      <c r="B25">
        <v>245</v>
      </c>
      <c r="C25">
        <v>5.49</v>
      </c>
      <c r="D25">
        <f>C25*$B$3</f>
      </c>
      <c r="E25">
        <v>659.22</v>
      </c>
      <c r="F25">
        <v>415.53</v>
      </c>
      <c r="G25">
        <v>404.04</v>
      </c>
      <c r="H25">
        <f>MIN(E25:G25)</f>
      </c>
      <c r="I25">
        <f>H25-D25</f>
      </c>
      <c r="J25" s="2">
        <f>IF(D25=0,"",(H25-D25)/D25)</f>
      </c>
      <c r="K25" t="s">
        <v>35</v>
      </c>
      <c r="L25" t="s">
        <v>44</v>
      </c>
    </row>
    <row r="26" spans="1:12" x14ac:dyDescent="0.25">
      <c r="A26" t="s">
        <v>46</v>
      </c>
      <c r="B26">
        <v>41</v>
      </c>
      <c r="C26">
        <v>6.3</v>
      </c>
      <c r="D26">
        <f>C26*$B$3</f>
      </c>
      <c r="E26">
        <v>665.91</v>
      </c>
      <c r="F26">
        <v>517.68</v>
      </c>
      <c r="G26">
        <v>464.65</v>
      </c>
      <c r="H26">
        <f>MIN(E26:G26)</f>
      </c>
      <c r="I26">
        <f>H26-D26</f>
      </c>
      <c r="J26" s="2">
        <f>IF(D26=0,"",(H26-D26)/D26)</f>
      </c>
      <c r="K26" t="s">
        <v>35</v>
      </c>
      <c r="L26" t="s">
        <v>44</v>
      </c>
    </row>
    <row r="27" spans="1:12" x14ac:dyDescent="0.25">
      <c r="A27" t="s">
        <v>47</v>
      </c>
      <c r="B27">
        <v>110</v>
      </c>
      <c r="C27">
        <v>4.68</v>
      </c>
      <c r="D27">
        <f>C27*$B$3</f>
      </c>
      <c r="E27">
        <v>542.05</v>
      </c>
      <c r="F27">
        <v>416.42</v>
      </c>
      <c r="G27">
        <v>372.98</v>
      </c>
      <c r="H27">
        <f>MIN(E27:G27)</f>
      </c>
      <c r="I27">
        <f>H27-D27</f>
      </c>
      <c r="J27" s="2">
        <f>IF(D27=0,"",(H27-D27)/D27)</f>
      </c>
      <c r="K27" t="s">
        <v>35</v>
      </c>
      <c r="L27" t="s">
        <v>44</v>
      </c>
    </row>
    <row r="28" spans="1:12" x14ac:dyDescent="0.25">
      <c r="A28" t="s">
        <v>48</v>
      </c>
      <c r="B28">
        <v>96</v>
      </c>
      <c r="C28">
        <v>4.18</v>
      </c>
      <c r="D28">
        <f>C28*$B$3</f>
      </c>
      <c r="E28">
        <v>412.25</v>
      </c>
      <c r="F28">
        <v>335.86</v>
      </c>
      <c r="G28">
        <v>317.8</v>
      </c>
      <c r="H28">
        <f>MIN(E28:G28)</f>
      </c>
      <c r="I28">
        <f>H28-D28</f>
      </c>
      <c r="J28" s="2">
        <f>IF(D28=0,"",(H28-D28)/D28)</f>
      </c>
      <c r="K28" t="s">
        <v>35</v>
      </c>
      <c r="L28" t="s">
        <v>44</v>
      </c>
    </row>
    <row r="29" spans="1:12" x14ac:dyDescent="0.25">
      <c r="A29" t="s">
        <v>49</v>
      </c>
      <c r="B29">
        <v>118</v>
      </c>
      <c r="C29">
        <v>4.58</v>
      </c>
      <c r="D29">
        <f>C29*$B$3</f>
      </c>
      <c r="E29">
        <v>443.69</v>
      </c>
      <c r="F29">
        <v>422.98</v>
      </c>
      <c r="G29">
        <v>361.87</v>
      </c>
      <c r="H29">
        <f>MIN(E29:G29)</f>
      </c>
      <c r="I29">
        <f>H29-D29</f>
      </c>
      <c r="J29" s="2">
        <f>IF(D29=0,"",(H29-D29)/D29)</f>
      </c>
      <c r="K29" t="s">
        <v>35</v>
      </c>
      <c r="L29" t="s">
        <v>44</v>
      </c>
    </row>
    <row r="30" spans="1:12" x14ac:dyDescent="0.25">
      <c r="A30" t="s">
        <v>50</v>
      </c>
      <c r="B30">
        <v>189</v>
      </c>
      <c r="C30">
        <v>5.04</v>
      </c>
      <c r="D30">
        <f>C30*$B$3</f>
      </c>
      <c r="E30">
        <v>508.08</v>
      </c>
      <c r="F30">
        <v>440.53</v>
      </c>
      <c r="G30">
        <v>412.88</v>
      </c>
      <c r="H30">
        <f>MIN(E30:G30)</f>
      </c>
      <c r="I30">
        <f>H30-D30</f>
      </c>
      <c r="J30" s="2">
        <f>IF(D30=0,"",(H30-D30)/D30)</f>
      </c>
      <c r="K30" t="s">
        <v>35</v>
      </c>
      <c r="L30" t="s">
        <v>44</v>
      </c>
    </row>
    <row r="31" spans="1:12" x14ac:dyDescent="0.25">
      <c r="A31" t="s">
        <v>51</v>
      </c>
      <c r="B31">
        <v>188</v>
      </c>
      <c r="C31">
        <v>3.83</v>
      </c>
      <c r="D31">
        <f>C31*$B$3</f>
      </c>
      <c r="E31">
        <v>395.33</v>
      </c>
      <c r="F31">
        <v>282.2</v>
      </c>
      <c r="G31">
        <v>287.88</v>
      </c>
      <c r="H31">
        <f>MIN(E31:G31)</f>
      </c>
      <c r="I31">
        <f>H31-D31</f>
      </c>
      <c r="J31" s="2">
        <f>IF(D31=0,"",(H31-D31)/D31)</f>
      </c>
      <c r="K31" t="s">
        <v>35</v>
      </c>
      <c r="L31" t="s">
        <v>44</v>
      </c>
    </row>
    <row r="32" spans="1:12" x14ac:dyDescent="0.25">
      <c r="A32" t="s">
        <v>52</v>
      </c>
      <c r="B32">
        <v>45</v>
      </c>
      <c r="C32">
        <v>3.63</v>
      </c>
      <c r="D32">
        <f>C32*$B$3</f>
      </c>
      <c r="E32">
        <v>432.58</v>
      </c>
      <c r="F32">
        <v>273.74</v>
      </c>
      <c r="G32">
        <v>267.68</v>
      </c>
      <c r="H32">
        <f>MIN(E32:G32)</f>
      </c>
      <c r="I32">
        <f>H32-D32</f>
      </c>
      <c r="J32" s="2">
        <f>IF(D32=0,"",(H32-D32)/D32)</f>
      </c>
      <c r="K32" t="s">
        <v>35</v>
      </c>
      <c r="L32" t="s">
        <v>44</v>
      </c>
    </row>
    <row r="33" spans="1:12" x14ac:dyDescent="0.25">
      <c r="A33" t="s">
        <v>53</v>
      </c>
      <c r="B33">
        <v>83</v>
      </c>
      <c r="C33">
        <v>3.02</v>
      </c>
      <c r="D33">
        <f>C33*$B$3</f>
      </c>
      <c r="E33">
        <v>324.87</v>
      </c>
      <c r="F33">
        <v>238.76</v>
      </c>
      <c r="G33">
        <v>236.11</v>
      </c>
      <c r="H33">
        <f>MIN(E33:G33)</f>
      </c>
      <c r="I33">
        <f>H33-D33</f>
      </c>
      <c r="J33" s="2">
        <f>IF(D33=0,"",(H33-D33)/D33)</f>
      </c>
      <c r="K33" t="s">
        <v>35</v>
      </c>
      <c r="L33" t="s">
        <v>44</v>
      </c>
    </row>
    <row r="34" spans="1:12" x14ac:dyDescent="0.25">
      <c r="A34" t="s">
        <v>54</v>
      </c>
      <c r="B34">
        <v>103</v>
      </c>
      <c r="C34">
        <v>3.71</v>
      </c>
      <c r="D34">
        <f>C34*$B$3</f>
      </c>
      <c r="E34">
        <v>416.54</v>
      </c>
      <c r="F34">
        <v>250.88</v>
      </c>
      <c r="G34">
        <v>237.12</v>
      </c>
      <c r="H34">
        <f>MIN(E34:G34)</f>
      </c>
      <c r="I34">
        <f>H34-D34</f>
      </c>
      <c r="J34" s="2">
        <f>IF(D34=0,"",(H34-D34)/D34)</f>
      </c>
      <c r="K34" t="s">
        <v>35</v>
      </c>
      <c r="L34" t="s">
        <v>44</v>
      </c>
    </row>
    <row r="35" spans="1:12" x14ac:dyDescent="0.25">
      <c r="A35" t="s">
        <v>55</v>
      </c>
      <c r="B35">
        <v>364</v>
      </c>
      <c r="C35">
        <v>2.86</v>
      </c>
      <c r="D35">
        <f>C35*$B$3</f>
      </c>
      <c r="E35">
        <v>287.5</v>
      </c>
      <c r="F35">
        <v>239.9</v>
      </c>
      <c r="G35">
        <v>236.49</v>
      </c>
      <c r="H35">
        <f>MIN(E35:G35)</f>
      </c>
      <c r="I35">
        <f>H35-D35</f>
      </c>
      <c r="J35" s="2">
        <f>IF(D35=0,"",(H35-D35)/D35)</f>
      </c>
      <c r="K35" t="s">
        <v>35</v>
      </c>
      <c r="L35" t="s">
        <v>44</v>
      </c>
    </row>
    <row r="36" spans="1:12" x14ac:dyDescent="0.25">
      <c r="A36" t="s">
        <v>56</v>
      </c>
      <c r="B36">
        <v>93</v>
      </c>
      <c r="C36">
        <v>3.16</v>
      </c>
      <c r="D36">
        <f>C36*$B$3</f>
      </c>
      <c r="E36">
        <v>344.45</v>
      </c>
      <c r="F36">
        <v>241.79</v>
      </c>
      <c r="G36">
        <v>238.01</v>
      </c>
      <c r="H36">
        <f>MIN(E36:G36)</f>
      </c>
      <c r="I36">
        <f>H36-D36</f>
      </c>
      <c r="J36" s="2">
        <f>IF(D36=0,"",(H36-D36)/D36)</f>
      </c>
      <c r="K36" t="s">
        <v>35</v>
      </c>
      <c r="L36" t="s">
        <v>44</v>
      </c>
    </row>
    <row r="37" spans="1:12" x14ac:dyDescent="0.25">
      <c r="A37" t="s">
        <v>57</v>
      </c>
      <c r="B37">
        <v>159</v>
      </c>
      <c r="C37">
        <v>2.75</v>
      </c>
      <c r="D37">
        <f>C37*$B$3</f>
      </c>
      <c r="E37">
        <v>341.79</v>
      </c>
      <c r="F37">
        <v>232.07</v>
      </c>
      <c r="G37">
        <v>229.8</v>
      </c>
      <c r="H37">
        <f>MIN(E37:G37)</f>
      </c>
      <c r="I37">
        <f>H37-D37</f>
      </c>
      <c r="J37" s="2">
        <f>IF(D37=0,"",(H37-D37)/D37)</f>
      </c>
      <c r="K37" t="s">
        <v>35</v>
      </c>
      <c r="L37" t="s">
        <v>44</v>
      </c>
    </row>
    <row r="38" spans="1:12" x14ac:dyDescent="0.25">
      <c r="A38" t="s">
        <v>58</v>
      </c>
      <c r="B38">
        <v>165</v>
      </c>
      <c r="C38">
        <v>3.98</v>
      </c>
      <c r="D38">
        <f>C38*$B$3</f>
      </c>
      <c r="E38">
        <v>565.78</v>
      </c>
      <c r="F38">
        <v>338.26</v>
      </c>
      <c r="G38">
        <v>327.02</v>
      </c>
      <c r="H38">
        <f>MIN(E38:G38)</f>
      </c>
      <c r="I38">
        <f>H38-D38</f>
      </c>
      <c r="J38" s="2">
        <f>IF(D38=0,"",(H38-D38)/D38)</f>
      </c>
      <c r="K38" t="s">
        <v>35</v>
      </c>
      <c r="L38" t="s">
        <v>36</v>
      </c>
    </row>
    <row r="39" spans="1:12" x14ac:dyDescent="0.25">
      <c r="A39" t="s">
        <v>59</v>
      </c>
      <c r="B39">
        <v>701</v>
      </c>
      <c r="C39">
        <v>4.13</v>
      </c>
      <c r="D39">
        <f>C39*$B$3</f>
      </c>
      <c r="E39">
        <v>497.1</v>
      </c>
      <c r="F39">
        <v>342.17</v>
      </c>
      <c r="G39">
        <v>333.33</v>
      </c>
      <c r="H39">
        <f>MIN(E39:G39)</f>
      </c>
      <c r="I39">
        <f>H39-D39</f>
      </c>
      <c r="J39" s="2">
        <f>IF(D39=0,"",(H39-D39)/D39)</f>
      </c>
      <c r="K39" t="s">
        <v>23</v>
      </c>
      <c r="L39" t="s">
        <v>19</v>
      </c>
    </row>
    <row r="40" spans="1:12" x14ac:dyDescent="0.25">
      <c r="A40" t="s">
        <v>60</v>
      </c>
      <c r="B40">
        <v>218</v>
      </c>
      <c r="C40">
        <v>2.65</v>
      </c>
      <c r="D40">
        <f>C40*$B$3</f>
      </c>
      <c r="E40">
        <v>305.43</v>
      </c>
      <c r="F40">
        <v>239.77</v>
      </c>
      <c r="G40">
        <v>233.59</v>
      </c>
      <c r="H40">
        <f>MIN(E40:G40)</f>
      </c>
      <c r="I40">
        <f>H40-D40</f>
      </c>
      <c r="J40" s="2">
        <f>IF(D40=0,"",(H40-D40)/D40)</f>
      </c>
      <c r="K40" t="s">
        <v>23</v>
      </c>
      <c r="L40" t="s">
        <v>19</v>
      </c>
    </row>
    <row r="41" spans="1:12" x14ac:dyDescent="0.25">
      <c r="A41" t="s">
        <v>61</v>
      </c>
      <c r="B41">
        <v>60</v>
      </c>
      <c r="C41">
        <v>7.38</v>
      </c>
      <c r="D41">
        <f>C41*$B$3</f>
      </c>
      <c r="E41">
        <v>805.94</v>
      </c>
      <c r="F41">
        <v>630.05</v>
      </c>
      <c r="G41">
        <v>650.13</v>
      </c>
      <c r="H41">
        <f>MIN(E41:G41)</f>
      </c>
      <c r="I41">
        <f>H41-D41</f>
      </c>
      <c r="J41" s="2">
        <f>IF(D41=0,"",(H41-D41)/D41)</f>
      </c>
      <c r="K41" t="s">
        <v>23</v>
      </c>
      <c r="L41" t="s">
        <v>19</v>
      </c>
    </row>
    <row r="42" spans="1:12" x14ac:dyDescent="0.25">
      <c r="A42" t="s">
        <v>62</v>
      </c>
      <c r="B42">
        <v>94</v>
      </c>
      <c r="C42">
        <v>11.66</v>
      </c>
      <c r="D42">
        <f>C42*$B$3</f>
      </c>
      <c r="E42">
        <v>1211.49</v>
      </c>
      <c r="F42">
        <v>972.23</v>
      </c>
      <c r="G42">
        <v>978.54</v>
      </c>
      <c r="H42">
        <f>MIN(E42:G42)</f>
      </c>
      <c r="I42">
        <f>H42-D42</f>
      </c>
      <c r="J42" s="2">
        <f>IF(D42=0,"",(H42-D42)/D42)</f>
      </c>
      <c r="K42" t="s">
        <v>63</v>
      </c>
      <c r="L42" t="s">
        <v>24</v>
      </c>
    </row>
    <row r="43" spans="1:12" x14ac:dyDescent="0.25">
      <c r="A43" t="s">
        <v>64</v>
      </c>
      <c r="B43">
        <v>828</v>
      </c>
      <c r="C43">
        <v>6.05</v>
      </c>
      <c r="D43">
        <f>C43*$B$3</f>
      </c>
      <c r="E43">
        <v>734.72</v>
      </c>
      <c r="F43">
        <v>513.51</v>
      </c>
      <c r="G43">
        <v>500.89</v>
      </c>
      <c r="H43">
        <f>MIN(E43:G43)</f>
      </c>
      <c r="I43">
        <f>H43-D43</f>
      </c>
      <c r="J43" s="2">
        <f>IF(D43=0,"",(H43-D43)/D43)</f>
      </c>
      <c r="K43" t="s">
        <v>23</v>
      </c>
      <c r="L43" t="s">
        <v>24</v>
      </c>
    </row>
    <row r="44" spans="1:12" x14ac:dyDescent="0.25">
      <c r="A44" t="s">
        <v>65</v>
      </c>
      <c r="B44">
        <v>871</v>
      </c>
      <c r="C44">
        <v>3.79</v>
      </c>
      <c r="D44">
        <f>C44*$B$3</f>
      </c>
      <c r="E44">
        <v>451.26</v>
      </c>
      <c r="F44">
        <v>315.66</v>
      </c>
      <c r="G44">
        <v>331.31</v>
      </c>
      <c r="H44">
        <f>MIN(E44:G44)</f>
      </c>
      <c r="I44">
        <f>H44-D44</f>
      </c>
      <c r="J44" s="2">
        <f>IF(D44=0,"",(H44-D44)/D44)</f>
      </c>
      <c r="K44" t="s">
        <v>23</v>
      </c>
      <c r="L44" t="s">
        <v>24</v>
      </c>
    </row>
    <row r="45" spans="1:12" x14ac:dyDescent="0.25">
      <c r="A45" t="s">
        <v>66</v>
      </c>
      <c r="B45">
        <v>354</v>
      </c>
      <c r="C45">
        <v>2.74</v>
      </c>
      <c r="D45">
        <f>C45*$B$3</f>
      </c>
      <c r="E45">
        <v>341.79</v>
      </c>
      <c r="F45">
        <v>225.88</v>
      </c>
      <c r="G45">
        <v>223.49</v>
      </c>
      <c r="H45">
        <f>MIN(E45:G45)</f>
      </c>
      <c r="I45">
        <f>H45-D45</f>
      </c>
      <c r="J45" s="2">
        <f>IF(D45=0,"",(H45-D45)/D45)</f>
      </c>
      <c r="K45" t="s">
        <v>35</v>
      </c>
      <c r="L45" t="s">
        <v>36</v>
      </c>
    </row>
    <row r="46" spans="1:12" x14ac:dyDescent="0.25">
      <c r="A46" t="s">
        <v>67</v>
      </c>
      <c r="B46">
        <v>75</v>
      </c>
      <c r="C46">
        <v>10.76</v>
      </c>
      <c r="D46">
        <f>C46*$B$3</f>
      </c>
      <c r="E46">
        <v>1087.63</v>
      </c>
      <c r="F46">
        <v>938.26</v>
      </c>
      <c r="G46">
        <v>860.61</v>
      </c>
      <c r="H46">
        <f>MIN(E46:G46)</f>
      </c>
      <c r="I46">
        <f>H46-D46</f>
      </c>
      <c r="J46" s="2">
        <f>IF(D46=0,"",(H46-D46)/D46)</f>
      </c>
      <c r="K46" t="s">
        <v>18</v>
      </c>
      <c r="L46" t="s">
        <v>19</v>
      </c>
    </row>
    <row r="47" spans="1:12" x14ac:dyDescent="0.25">
      <c r="A47" t="s">
        <v>68</v>
      </c>
      <c r="B47">
        <v>112</v>
      </c>
      <c r="C47">
        <v>3.62</v>
      </c>
      <c r="D47">
        <f>C47*$B$3</f>
      </c>
      <c r="E47">
        <v>441.92</v>
      </c>
      <c r="F47">
        <v>348.36</v>
      </c>
      <c r="G47">
        <v>325.63</v>
      </c>
      <c r="H47">
        <f>MIN(E47:G47)</f>
      </c>
      <c r="I47">
        <f>H47-D47</f>
      </c>
      <c r="J47" s="2">
        <f>IF(D47=0,"",(H47-D47)/D47)</f>
      </c>
      <c r="K47" t="s">
        <v>18</v>
      </c>
      <c r="L47" t="s">
        <v>19</v>
      </c>
    </row>
    <row r="48" spans="1:12" x14ac:dyDescent="0.25">
      <c r="A48" t="s">
        <v>69</v>
      </c>
      <c r="B48">
        <v>92</v>
      </c>
      <c r="C48">
        <v>9.04</v>
      </c>
      <c r="D48">
        <f>C48*$B$3</f>
      </c>
      <c r="E48">
        <v>1096.97</v>
      </c>
      <c r="F48">
        <v>714.27</v>
      </c>
      <c r="G48">
        <v>782.07</v>
      </c>
      <c r="H48">
        <f>MIN(E48:G48)</f>
      </c>
      <c r="I48">
        <f>H48-D48</f>
      </c>
      <c r="J48" s="2">
        <f>IF(D48=0,"",(H48-D48)/D48)</f>
      </c>
      <c r="K48" t="s">
        <v>18</v>
      </c>
      <c r="L48" t="s">
        <v>24</v>
      </c>
    </row>
    <row r="49" spans="1:12" x14ac:dyDescent="0.25">
      <c r="A49" t="s">
        <v>70</v>
      </c>
      <c r="B49">
        <v>130</v>
      </c>
      <c r="C49">
        <v>30.55</v>
      </c>
      <c r="D49">
        <f>C49*$B$3</f>
      </c>
      <c r="E49">
        <v>3596.35</v>
      </c>
      <c r="F49">
        <v>2487.25</v>
      </c>
      <c r="G49">
        <v>2671.73</v>
      </c>
      <c r="H49">
        <f>MIN(E49:G49)</f>
      </c>
      <c r="I49">
        <f>H49-D49</f>
      </c>
      <c r="J49" s="2">
        <f>IF(D49=0,"",(H49-D49)/D49)</f>
      </c>
      <c r="K49" t="s">
        <v>18</v>
      </c>
      <c r="L49" t="s">
        <v>19</v>
      </c>
    </row>
    <row r="50" spans="1:12" x14ac:dyDescent="0.25">
      <c r="A50" t="s">
        <v>71</v>
      </c>
      <c r="B50">
        <v>387</v>
      </c>
      <c r="C50">
        <v>2.15</v>
      </c>
      <c r="D50">
        <f>C50*$B$3</f>
      </c>
      <c r="E50">
        <v>250.25</v>
      </c>
      <c r="F50">
        <v>179.29</v>
      </c>
      <c r="G50">
        <v>175.13</v>
      </c>
      <c r="H50">
        <f>MIN(E50:G50)</f>
      </c>
      <c r="I50">
        <f>H50-D50</f>
      </c>
      <c r="J50" s="2">
        <f>IF(D50=0,"",(H50-D50)/D50)</f>
      </c>
      <c r="K50" t="s">
        <v>18</v>
      </c>
      <c r="L50" t="s">
        <v>24</v>
      </c>
    </row>
    <row r="51" spans="1:12" x14ac:dyDescent="0.25">
      <c r="A51" t="s">
        <v>72</v>
      </c>
      <c r="B51">
        <v>111</v>
      </c>
      <c r="C51">
        <v>3.84</v>
      </c>
      <c r="D51">
        <f>C51*$B$3</f>
      </c>
      <c r="E51">
        <v>485.23</v>
      </c>
      <c r="F51">
        <v>334.47</v>
      </c>
      <c r="G51">
        <v>325.51</v>
      </c>
      <c r="H51">
        <f>MIN(E51:G51)</f>
      </c>
      <c r="I51">
        <f>H51-D51</f>
      </c>
      <c r="J51" s="2">
        <f>IF(D51=0,"",(H51-D51)/D51)</f>
      </c>
      <c r="K51" t="s">
        <v>63</v>
      </c>
      <c r="L51" t="s">
        <v>19</v>
      </c>
    </row>
    <row r="52" spans="1:12" x14ac:dyDescent="0.25">
      <c r="A52" t="s">
        <v>73</v>
      </c>
      <c r="B52">
        <v>102</v>
      </c>
      <c r="C52">
        <v>1.94</v>
      </c>
      <c r="D52">
        <f>C52*$B$3</f>
      </c>
      <c r="E52">
        <v>247.73</v>
      </c>
      <c r="F52">
        <v>145.2</v>
      </c>
      <c r="G52">
        <v>168.81</v>
      </c>
      <c r="H52">
        <f>MIN(E52:G52)</f>
      </c>
      <c r="I52">
        <f>H52-D52</f>
      </c>
      <c r="J52" s="2">
        <f>IF(D52=0,"",(H52-D52)/D52)</f>
      </c>
      <c r="K52" t="s">
        <v>18</v>
      </c>
      <c r="L52" t="s">
        <v>19</v>
      </c>
    </row>
    <row r="53" spans="1:12" x14ac:dyDescent="0.25">
      <c r="A53" t="s">
        <v>74</v>
      </c>
      <c r="B53">
        <v>349</v>
      </c>
      <c r="C53">
        <v>2.68</v>
      </c>
      <c r="D53">
        <f>C53*$B$3</f>
      </c>
      <c r="E53">
        <v>324.87</v>
      </c>
      <c r="F53">
        <v>237.37</v>
      </c>
      <c r="G53">
        <v>228.54</v>
      </c>
      <c r="H53">
        <f>MIN(E53:G53)</f>
      </c>
      <c r="I53">
        <f>H53-D53</f>
      </c>
      <c r="J53" s="2">
        <f>IF(D53=0,"",(H53-D53)/D53)</f>
      </c>
      <c r="K53" t="s">
        <v>23</v>
      </c>
      <c r="L53" t="s">
        <v>19</v>
      </c>
    </row>
    <row r="54" spans="1:12" x14ac:dyDescent="0.25">
      <c r="A54" t="s">
        <v>75</v>
      </c>
      <c r="B54">
        <v>212</v>
      </c>
      <c r="C54">
        <v>8.76</v>
      </c>
      <c r="D54">
        <f>C54*$B$3</f>
      </c>
      <c r="E54">
        <v>905.18</v>
      </c>
      <c r="F54">
        <v>627.53</v>
      </c>
      <c r="G54">
        <v>649.12</v>
      </c>
      <c r="H54">
        <f>MIN(E54:G54)</f>
      </c>
      <c r="I54">
        <f>H54-D54</f>
      </c>
      <c r="J54" s="2">
        <f>IF(D54=0,"",(H54-D54)/D54)</f>
      </c>
      <c r="K54" t="s">
        <v>18</v>
      </c>
      <c r="L54" t="s">
        <v>24</v>
      </c>
    </row>
    <row r="55" spans="1:12" x14ac:dyDescent="0.25">
      <c r="A55" t="s">
        <v>76</v>
      </c>
      <c r="B55">
        <v>264</v>
      </c>
      <c r="C55">
        <v>15.12</v>
      </c>
      <c r="D55">
        <f>C55*$B$3</f>
      </c>
      <c r="E55">
        <v>1924.12</v>
      </c>
      <c r="F55">
        <v>1239.78</v>
      </c>
      <c r="G55">
        <v>1196.97</v>
      </c>
      <c r="H55">
        <f>MIN(E55:G55)</f>
      </c>
      <c r="I55">
        <f>H55-D55</f>
      </c>
      <c r="J55" s="2">
        <f>IF(D55=0,"",(H55-D55)/D55)</f>
      </c>
      <c r="K55" t="s">
        <v>18</v>
      </c>
      <c r="L55" t="s">
        <v>24</v>
      </c>
    </row>
    <row r="56" spans="1:12" x14ac:dyDescent="0.25">
      <c r="A56" t="s">
        <v>77</v>
      </c>
      <c r="B56">
        <v>262</v>
      </c>
      <c r="C56">
        <v>6.14</v>
      </c>
      <c r="D56">
        <f>C56*$B$3</f>
      </c>
      <c r="E56">
        <v>712.63</v>
      </c>
      <c r="F56">
        <v>521.84</v>
      </c>
      <c r="G56">
        <v>491.16</v>
      </c>
      <c r="H56">
        <f>MIN(E56:G56)</f>
      </c>
      <c r="I56">
        <f>H56-D56</f>
      </c>
      <c r="J56" s="2">
        <f>IF(D56=0,"",(H56-D56)/D56)</f>
      </c>
      <c r="K56" t="s">
        <v>63</v>
      </c>
      <c r="L56" t="s">
        <v>24</v>
      </c>
    </row>
    <row r="57" spans="1:12" x14ac:dyDescent="0.25">
      <c r="A57" t="s">
        <v>78</v>
      </c>
      <c r="B57">
        <v>395</v>
      </c>
      <c r="C57">
        <v>2.45</v>
      </c>
      <c r="D57">
        <f>C57*$B$3</f>
      </c>
      <c r="E57">
        <v>285.86</v>
      </c>
      <c r="F57">
        <v>190.03</v>
      </c>
      <c r="G57">
        <v>189.39</v>
      </c>
      <c r="H57">
        <f>MIN(E57:G57)</f>
      </c>
      <c r="I57">
        <f>H57-D57</f>
      </c>
      <c r="J57" s="2">
        <f>IF(D57=0,"",(H57-D57)/D57)</f>
      </c>
      <c r="K57" t="s">
        <v>35</v>
      </c>
      <c r="L57" t="s">
        <v>44</v>
      </c>
    </row>
    <row r="58" spans="1:12" x14ac:dyDescent="0.25">
      <c r="A58" t="s">
        <v>79</v>
      </c>
      <c r="B58">
        <v>210</v>
      </c>
      <c r="C58">
        <v>4.1</v>
      </c>
      <c r="D58">
        <f>C58*$B$3</f>
      </c>
      <c r="E58">
        <v>435.23</v>
      </c>
      <c r="F58">
        <v>321.97</v>
      </c>
      <c r="G58">
        <v>322.6</v>
      </c>
      <c r="H58">
        <f>MIN(E58:G58)</f>
      </c>
      <c r="I58">
        <f>H58-D58</f>
      </c>
      <c r="J58" s="2">
        <f>IF(D58=0,"",(H58-D58)/D58)</f>
      </c>
      <c r="K58" t="s">
        <v>35</v>
      </c>
      <c r="L58" t="s">
        <v>36</v>
      </c>
    </row>
    <row r="59" spans="1:12" x14ac:dyDescent="0.25">
      <c r="A59" t="s">
        <v>80</v>
      </c>
      <c r="B59">
        <v>282</v>
      </c>
      <c r="C59">
        <v>42.37</v>
      </c>
      <c r="D59">
        <f>C59*$B$3</f>
      </c>
      <c r="E59">
        <v>4352.41</v>
      </c>
      <c r="F59">
        <v>3320.34</v>
      </c>
      <c r="G59">
        <v>3356.07</v>
      </c>
      <c r="H59">
        <f>MIN(E59:G59)</f>
      </c>
      <c r="I59">
        <f>H59-D59</f>
      </c>
      <c r="J59" s="2">
        <f>IF(D59=0,"",(H59-D59)/D59)</f>
      </c>
      <c r="K59" t="s">
        <v>18</v>
      </c>
      <c r="L59" t="s">
        <v>27</v>
      </c>
    </row>
    <row r="60" spans="1:12" x14ac:dyDescent="0.25">
      <c r="A60" t="s">
        <v>81</v>
      </c>
      <c r="B60">
        <v>56</v>
      </c>
      <c r="C60">
        <v>4.57</v>
      </c>
      <c r="D60">
        <f>C60*$B$3</f>
      </c>
      <c r="E60">
        <v>521.72</v>
      </c>
      <c r="F60">
        <v>377.53</v>
      </c>
      <c r="G60">
        <v>392.55</v>
      </c>
      <c r="H60">
        <f>MIN(E60:G60)</f>
      </c>
      <c r="I60">
        <f>H60-D60</f>
      </c>
      <c r="J60" s="2">
        <f>IF(D60=0,"",(H60-D60)/D60)</f>
      </c>
      <c r="K60" t="s">
        <v>18</v>
      </c>
      <c r="L60" t="s">
        <v>24</v>
      </c>
    </row>
    <row r="61" spans="1:12" x14ac:dyDescent="0.25">
      <c r="A61" t="s">
        <v>82</v>
      </c>
      <c r="B61">
        <v>262</v>
      </c>
      <c r="C61">
        <v>7.05</v>
      </c>
      <c r="D61">
        <f>C61*$B$3</f>
      </c>
      <c r="E61">
        <v>753.29</v>
      </c>
      <c r="F61">
        <v>586.49</v>
      </c>
      <c r="G61">
        <v>584.47</v>
      </c>
      <c r="H61">
        <f>MIN(E61:G61)</f>
      </c>
      <c r="I61">
        <f>H61-D61</f>
      </c>
      <c r="J61" s="2">
        <f>IF(D61=0,"",(H61-D61)/D61)</f>
      </c>
      <c r="K61" t="s">
        <v>21</v>
      </c>
      <c r="L6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Сравнение цен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2026-09-28T14:17:33Z</dcterms:created>
  <dcterms:modified xsi:type="dcterms:W3CDTF">2026-09-28T14:17:33Z</dcterms:modified>
</cp:coreProperties>
</file>