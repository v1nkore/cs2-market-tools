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Сравнение цен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<sst xmlns="http://schemas.openxmlformats.org/spreadsheetml/2006/main" count="376" uniqueCount="141">
  <si>
    <t xml:space="preserve">Сравнение цен: LIS-SKINS vs SteamDT (Steam Community Market)</t>
  </si>
  <si>
    <t xml:space="preserve">Список: lis-skins.com/ru/market/cs2/?user_list_id=01kvbgbzhn0acjzykwfagmc96y (Избранное, 118 позиций в наличии)</t>
  </si>
  <si>
    <t xml:space="preserve">Жёлтые ячейки — вводимые данные (обновляйте вручную с сайтов). Остальное считается формулами.</t>
  </si>
  <si>
    <t xml:space="preserve">Курс USD → RUB (lis-skins):</t>
  </si>
  <si>
    <t xml:space="preserve">← обновить с lis-skins (переключатель валют, шапка сайта)</t>
  </si>
  <si>
    <t xml:space="preserve">Курс CNY → RUB (SteamDT, для колонки G):</t>
  </si>
  <si>
    <t xml:space="preserve">← цены API SteamDT приходят в юанях (CNY); курс см. steamdt.com, значение commonDictionary.rates (RUB)</t>
  </si>
  <si>
    <t xml:space="preserve">Дата снятия цен:</t>
  </si>
  <si>
    <t xml:space="preserve">17.07.2026</t>
  </si>
  <si>
    <t xml:space="preserve">№</t>
  </si>
  <si>
    <t xml:space="preserve">Скин</t>
  </si>
  <si>
    <t xml:space="preserve">Кол-во на LIS-SKINS</t>
  </si>
  <si>
    <t xml:space="preserve">Цена LIS-SKINS, $</t>
  </si>
  <si>
    <t xml:space="preserve">Цена LIS-SKINS, ₽</t>
  </si>
  <si>
    <t xml:space="preserve">Цена Steam (SteamDT), CNY</t>
  </si>
  <si>
    <t xml:space="preserve">Цена Steam (SteamDT), ₽</t>
  </si>
  <si>
    <t xml:space="preserve">Разница, ₽ (Steam - Lis)</t>
  </si>
  <si>
    <t xml:space="preserve">Разница, %</t>
  </si>
  <si>
    <t xml:space="preserve">Дешевле на LIS-SKINS?</t>
  </si>
  <si>
    <t xml:space="preserve">Ссылка LIS-SKINS</t>
  </si>
  <si>
    <t xml:space="preserve">Ссылка SteamDT</t>
  </si>
  <si>
    <t xml:space="preserve">M4A4 | Desolate Space (Factory New)</t>
  </si>
  <si>
    <t xml:space="preserve">Открыть</t>
  </si>
  <si>
    <t xml:space="preserve">AK-47 | Point Disarray (Factory New)</t>
  </si>
  <si>
    <t xml:space="preserve">FAMAS | Waters of Nephthys (Minimal Wear)</t>
  </si>
  <si>
    <t xml:space="preserve">AWP | Containment Breach (Field-Tested)</t>
  </si>
  <si>
    <t xml:space="preserve">AK-47 | Legion of Anubis (Factory New)</t>
  </si>
  <si>
    <t xml:space="preserve">USP-S | Orion (Minimal Wear)</t>
  </si>
  <si>
    <t xml:space="preserve">MAC-10 | Fade (Factory New)</t>
  </si>
  <si>
    <t xml:space="preserve">AWP | Neo-Noir (Factory New)</t>
  </si>
  <si>
    <t xml:space="preserve">M4A1-S | Vaporwave (Field-Tested)</t>
  </si>
  <si>
    <t xml:space="preserve">AWP | Containment Breach (Well-Worn)</t>
  </si>
  <si>
    <t xml:space="preserve">FAMAS | Waters of Nephthys (Field-Tested)</t>
  </si>
  <si>
    <t xml:space="preserve">Desert Eagle | Starcade (Field-Tested)</t>
  </si>
  <si>
    <t xml:space="preserve">P250 | Apep's Curse (Field-Tested)</t>
  </si>
  <si>
    <t xml:space="preserve">CZ75-Auto | Emerald (Factory New)</t>
  </si>
  <si>
    <t xml:space="preserve">Dual Berettas | Emerald (Factory New)</t>
  </si>
  <si>
    <t xml:space="preserve">SCAR-20 | Cyrex (Factory New)</t>
  </si>
  <si>
    <t xml:space="preserve">M4A4 | Polysoup (Factory New)</t>
  </si>
  <si>
    <t xml:space="preserve">Galil AR | Cerberus (Field-Tested)</t>
  </si>
  <si>
    <t xml:space="preserve">AWP | Fever Dream (Factory New)</t>
  </si>
  <si>
    <t xml:space="preserve">UMP-45 | Blaze (Factory New)</t>
  </si>
  <si>
    <t xml:space="preserve">SG 553 | Integrale (Minimal Wear)</t>
  </si>
  <si>
    <t xml:space="preserve">FAMAS | Styx (Minimal Wear)</t>
  </si>
  <si>
    <t xml:space="preserve">M4A4 | Polysoup (Minimal Wear)</t>
  </si>
  <si>
    <t xml:space="preserve">Glock-18 | Ramese's Reach (Minimal Wear)</t>
  </si>
  <si>
    <t xml:space="preserve">MP9 | Music Box (Factory New)</t>
  </si>
  <si>
    <t xml:space="preserve">Tec-9 | Brass (Minimal Wear)</t>
  </si>
  <si>
    <t xml:space="preserve">Sticker | Movistar Riders (Holo) | Stockholm 2021</t>
  </si>
  <si>
    <t xml:space="preserve">'The Doctor' Romanov | Sabre</t>
  </si>
  <si>
    <t xml:space="preserve">Michael Syfers | FBI Sniper</t>
  </si>
  <si>
    <t xml:space="preserve">Five-SeveN | Copper Galaxy (Minimal Wear)</t>
  </si>
  <si>
    <t xml:space="preserve">Sticker | Great Wave (Foil)</t>
  </si>
  <si>
    <t xml:space="preserve">SG 553 | Candy Apple (Factory New)</t>
  </si>
  <si>
    <t xml:space="preserve">M4A4 | Evil Daimyo (Factory New)</t>
  </si>
  <si>
    <t xml:space="preserve">AWP | Exoskeleton (Minimal Wear)</t>
  </si>
  <si>
    <t xml:space="preserve">The Elite Mr. Muhlik | Elite Crew</t>
  </si>
  <si>
    <t xml:space="preserve">USP-S | Guardian (Factory New)</t>
  </si>
  <si>
    <t xml:space="preserve">P250 | Epicenter (Minimal Wear)</t>
  </si>
  <si>
    <t xml:space="preserve">Sticker | Cloud9 (Holo) | Antwerp 2022</t>
  </si>
  <si>
    <t xml:space="preserve">FAMAS | Styx (Field-Tested)</t>
  </si>
  <si>
    <t xml:space="preserve">Glock-18 | Ramese's Reach (Field-Tested)</t>
  </si>
  <si>
    <t xml:space="preserve">Osiris | Elite Crew</t>
  </si>
  <si>
    <t xml:space="preserve">B Squadron Officer | SAS</t>
  </si>
  <si>
    <t xml:space="preserve">AUG | Carved Jade (Minimal Wear)</t>
  </si>
  <si>
    <t xml:space="preserve">SSG 08 | Rapid Transit (Factory New)</t>
  </si>
  <si>
    <t xml:space="preserve">Markus Delrow | FBI HRT</t>
  </si>
  <si>
    <t xml:space="preserve">Sticker | Great Wave (Holo)</t>
  </si>
  <si>
    <t xml:space="preserve">Sticker | 9z Team (Holo) | Antwerp 2022</t>
  </si>
  <si>
    <t xml:space="preserve">Sticker | Copenhagen Flames (Holo) | Stockholm 2021</t>
  </si>
  <si>
    <t xml:space="preserve">Slingshot | Phoenix</t>
  </si>
  <si>
    <t xml:space="preserve">SG 553 | Integrale (Field-Tested)</t>
  </si>
  <si>
    <t xml:space="preserve">Rezan The Ready | Sabre</t>
  </si>
  <si>
    <t xml:space="preserve">Blackwolf | Sabre</t>
  </si>
  <si>
    <t xml:space="preserve">Rezan the Redshirt | Sabre</t>
  </si>
  <si>
    <t xml:space="preserve">Prof. Shahmat | Elite Crew</t>
  </si>
  <si>
    <t xml:space="preserve">Sticker | Entropiq (Holo) | Stockholm 2021</t>
  </si>
  <si>
    <t xml:space="preserve">Sticker | Outsiders (Holo) | Antwerp 2022</t>
  </si>
  <si>
    <t xml:space="preserve">Sticker | Liquid Fire</t>
  </si>
  <si>
    <t xml:space="preserve">Sticker | Team Spirit (Holo) | Stockholm 2021</t>
  </si>
  <si>
    <t xml:space="preserve">AK-47 | Crossfade (Factory New)</t>
  </si>
  <si>
    <t xml:space="preserve">AK-47 | Slate (Minimal Wear)</t>
  </si>
  <si>
    <t xml:space="preserve">Tec-9 | Brass (Field-Tested)</t>
  </si>
  <si>
    <t xml:space="preserve">Dragomir | Sabre</t>
  </si>
  <si>
    <t xml:space="preserve">Maximus | Sabre</t>
  </si>
  <si>
    <t xml:space="preserve">Sticker | Wildcard (Holo) | Shanghai 2024</t>
  </si>
  <si>
    <t xml:space="preserve">Sticker | BIG (Holo) | Stockholm 2021</t>
  </si>
  <si>
    <t xml:space="preserve">Sticker | Copenhagen Flames (Holo) | Antwerp 2022</t>
  </si>
  <si>
    <t xml:space="preserve">Sticker | Sharks Esports (Holo) | Stockholm 2021</t>
  </si>
  <si>
    <t xml:space="preserve">Sticker | Virtus.Pro (Holo) | Stockholm 2021</t>
  </si>
  <si>
    <t xml:space="preserve">Sticker | GODSENT (Holo) | Stockholm 2021</t>
  </si>
  <si>
    <t xml:space="preserve">Sticker | Team Spirit (Holo) | Shanghai 2024</t>
  </si>
  <si>
    <t xml:space="preserve">CZ75-Auto | Tacticat (Factory New)</t>
  </si>
  <si>
    <t xml:space="preserve">AK-47 | Phantom Disruptor (Field-Tested)</t>
  </si>
  <si>
    <t xml:space="preserve">Sticker | FURIA (Holo) | Stockholm 2021</t>
  </si>
  <si>
    <t xml:space="preserve">Sticker | Evil Geniuses (Holo) | Stockholm 2021</t>
  </si>
  <si>
    <t xml:space="preserve">MAC-10 | Strats (Factory New)</t>
  </si>
  <si>
    <t xml:space="preserve">Sticker | Imperial Esports (Holo) | Antwerp 2022</t>
  </si>
  <si>
    <t xml:space="preserve">AWP | Black Nile (Minimal Wear)</t>
  </si>
  <si>
    <t xml:space="preserve">Sticker | G2 Esports (Holo) | Antwerp 2022</t>
  </si>
  <si>
    <t xml:space="preserve">Sticker | Team Spirit (Holo) | Antwerp 2022</t>
  </si>
  <si>
    <t xml:space="preserve">R8 Revolver | Blaze (Factory New)</t>
  </si>
  <si>
    <t xml:space="preserve">Sticker | Stone Scales (Foil)</t>
  </si>
  <si>
    <t xml:space="preserve">Sticker | Gold Web (Foil)</t>
  </si>
  <si>
    <t xml:space="preserve">Sticker | Astralis (Holo) | Stockholm 2021</t>
  </si>
  <si>
    <t xml:space="preserve">P250 | Epicenter (Field-Tested)</t>
  </si>
  <si>
    <t xml:space="preserve">Sticker | paiN Gaming (Holo) | Stockholm 2021</t>
  </si>
  <si>
    <t xml:space="preserve">Sticker | Renegades (Holo) | Stockholm 2021</t>
  </si>
  <si>
    <t xml:space="preserve">Sticker | Fnatic (Holo) | Shanghai 2024</t>
  </si>
  <si>
    <t xml:space="preserve">AK-47 | Slate (Field-Tested)</t>
  </si>
  <si>
    <t xml:space="preserve">Sticker | Gambit Gaming (Holo) | Stockholm 2021</t>
  </si>
  <si>
    <t xml:space="preserve">Sticker | Complexity Gaming (Holo) | Antwerp 2022</t>
  </si>
  <si>
    <t xml:space="preserve">Sticker | Team Liquid (Holo) | Stockholm 2021</t>
  </si>
  <si>
    <t xml:space="preserve">Sticker | Perfect World (Holo) | Shanghai 2024</t>
  </si>
  <si>
    <t xml:space="preserve">M4A4 | Turbine (Minimal Wear)</t>
  </si>
  <si>
    <t xml:space="preserve">Galil AR | Tuxedo (Factory New)</t>
  </si>
  <si>
    <t xml:space="preserve">Sticker | G2 Esports (Holo) | Stockholm 2021</t>
  </si>
  <si>
    <t xml:space="preserve">XM1014 | Seasons (Factory New)</t>
  </si>
  <si>
    <t xml:space="preserve">Sticker | Heroic (Holo) | Stockholm 2021</t>
  </si>
  <si>
    <t xml:space="preserve">Sticker | Vitality (Holo) | Stockholm 2021</t>
  </si>
  <si>
    <t xml:space="preserve">Five-SeveN | Retrobution (Minimal Wear)</t>
  </si>
  <si>
    <t xml:space="preserve">AK-47 | Crossfade (Minimal Wear)</t>
  </si>
  <si>
    <t xml:space="preserve">P2000 | Amber Fade (Factory New)</t>
  </si>
  <si>
    <t xml:space="preserve">Sticker | Natus Vincere (Holo) | Stockholm 2021</t>
  </si>
  <si>
    <t xml:space="preserve">CZ75-Auto | Tuxedo (Factory New)</t>
  </si>
  <si>
    <t xml:space="preserve">Dual Berettas | Hydro Strike (Minimal Wear)</t>
  </si>
  <si>
    <t xml:space="preserve">SSG 08 | Ghost Crusader (Minimal Wear)</t>
  </si>
  <si>
    <t xml:space="preserve">Sticker | forZe eSports (Holo) | Antwerp 2022</t>
  </si>
  <si>
    <t xml:space="preserve">Sticker | Broken Fang (Holo)</t>
  </si>
  <si>
    <t xml:space="preserve">Sticker | BIG (Holo) | Antwerp 2022</t>
  </si>
  <si>
    <t xml:space="preserve">Sticker | Ancient Beast (Foil)</t>
  </si>
  <si>
    <t xml:space="preserve">Sticker | Coiled Strike (Holo)</t>
  </si>
  <si>
    <t xml:space="preserve">Sticker | Mastermind (Holo)</t>
  </si>
  <si>
    <t xml:space="preserve">FAMAS | Teardown (Factory New)</t>
  </si>
  <si>
    <t xml:space="preserve">Sticker | Enemy Spotted (Holo)</t>
  </si>
  <si>
    <t xml:space="preserve">Sticker | Web Stuck (Holo)</t>
  </si>
  <si>
    <t xml:space="preserve">Glock-18 | Teal Graf (Factory New)</t>
  </si>
  <si>
    <t xml:space="preserve">Dual Berettas | Cobalt Quartz (Factory New)</t>
  </si>
  <si>
    <t xml:space="preserve">Galil AR | NV (Factory New)</t>
  </si>
  <si>
    <t xml:space="preserve">Nova | Windblown (Factory New)</t>
  </si>
  <si>
    <t xml:space="preserve">ИТОГО: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</si>
</sst>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.0000"/>
    <numFmt numFmtId="167" formatCode="#,##0.00"/>
    <numFmt numFmtId="168" formatCode="#,##0.00;\(#,##0.00\)"/>
    <numFmt numFmtId="169" formatCode="0.0%;\(0.0%\)"/>
    <numFmt numFmtId="170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05496"/>
        <bgColor rgb="FF0563C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is-skins.com/ru/market/csgo/m4a4-desolate-space-factory-new/" TargetMode="External"/><Relationship Id="rId2" Type="http://schemas.openxmlformats.org/officeDocument/2006/relationships/hyperlink" Target="https://www.steamdt.com/en/mkt?search=M4A4%20%7C%20Desolate%20Space%20%28Factory%20New%29" TargetMode="External"/><Relationship Id="rId3" Type="http://schemas.openxmlformats.org/officeDocument/2006/relationships/hyperlink" Target="https://lis-skins.com/ru/market/csgo/ak-47-point-disarray-factory-new/" TargetMode="External"/><Relationship Id="rId4" Type="http://schemas.openxmlformats.org/officeDocument/2006/relationships/hyperlink" Target="https://www.steamdt.com/en/mkt?search=AK-47%20%7C%20Point%20Disarray%20%28Factory%20New%29" TargetMode="External"/><Relationship Id="rId5" Type="http://schemas.openxmlformats.org/officeDocument/2006/relationships/hyperlink" Target="https://lis-skins.com/ru/market/csgo/famas-waters-of-nephthys-minimal-wear/" TargetMode="External"/><Relationship Id="rId6" Type="http://schemas.openxmlformats.org/officeDocument/2006/relationships/hyperlink" Target="https://www.steamdt.com/en/mkt?search=FAMAS%20%7C%20Waters%20of%20Nephthys%20%28Minimal%20Wear%29" TargetMode="External"/><Relationship Id="rId7" Type="http://schemas.openxmlformats.org/officeDocument/2006/relationships/hyperlink" Target="https://lis-skins.com/ru/market/csgo/awp-containment-breach-field-tested/" TargetMode="External"/><Relationship Id="rId8" Type="http://schemas.openxmlformats.org/officeDocument/2006/relationships/hyperlink" Target="https://www.steamdt.com/en/mkt?search=AWP%20%7C%20Containment%20Breach%20%28Field-Tested%29" TargetMode="External"/><Relationship Id="rId9" Type="http://schemas.openxmlformats.org/officeDocument/2006/relationships/hyperlink" Target="https://lis-skins.com/ru/market/csgo/ak-47-legion-of-anubis-factory-new/" TargetMode="External"/><Relationship Id="rId10" Type="http://schemas.openxmlformats.org/officeDocument/2006/relationships/hyperlink" Target="https://www.steamdt.com/en/mkt?search=AK-47%20%7C%20Legion%20of%20Anubis%20%28Factory%20New%29" TargetMode="External"/><Relationship Id="rId11" Type="http://schemas.openxmlformats.org/officeDocument/2006/relationships/hyperlink" Target="https://lis-skins.com/ru/market/csgo/usp-s-orion-minimal-wear/" TargetMode="External"/><Relationship Id="rId12" Type="http://schemas.openxmlformats.org/officeDocument/2006/relationships/hyperlink" Target="https://www.steamdt.com/en/mkt?search=USP-S%20%7C%20Orion%20%28Minimal%20Wear%29" TargetMode="External"/><Relationship Id="rId13" Type="http://schemas.openxmlformats.org/officeDocument/2006/relationships/hyperlink" Target="https://lis-skins.com/ru/market/csgo/mac-10-fade-factory-new/" TargetMode="External"/><Relationship Id="rId14" Type="http://schemas.openxmlformats.org/officeDocument/2006/relationships/hyperlink" Target="https://www.steamdt.com/en/mkt?search=MAC-10%20%7C%20Fade%20%28Factory%20New%29" TargetMode="External"/><Relationship Id="rId15" Type="http://schemas.openxmlformats.org/officeDocument/2006/relationships/hyperlink" Target="https://lis-skins.com/ru/market/csgo/awp-neo-noir-factory-new/" TargetMode="External"/><Relationship Id="rId16" Type="http://schemas.openxmlformats.org/officeDocument/2006/relationships/hyperlink" Target="https://www.steamdt.com/en/mkt?search=AWP%20%7C%20Neo-Noir%20%28Factory%20New%29" TargetMode="External"/><Relationship Id="rId17" Type="http://schemas.openxmlformats.org/officeDocument/2006/relationships/hyperlink" Target="https://lis-skins.com/ru/market/csgo/m4a1-s-vaporwave-field-tested/" TargetMode="External"/><Relationship Id="rId18" Type="http://schemas.openxmlformats.org/officeDocument/2006/relationships/hyperlink" Target="https://www.steamdt.com/en/mkt?search=M4A1-S%20%7C%20Vaporwave%20%28Field-Tested%29" TargetMode="External"/><Relationship Id="rId19" Type="http://schemas.openxmlformats.org/officeDocument/2006/relationships/hyperlink" Target="https://lis-skins.com/ru/market/csgo/awp-containment-breach-well-worn/" TargetMode="External"/><Relationship Id="rId20" Type="http://schemas.openxmlformats.org/officeDocument/2006/relationships/hyperlink" Target="https://www.steamdt.com/en/mkt?search=AWP%20%7C%20Containment%20Breach%20%28Well-Worn%29" TargetMode="External"/><Relationship Id="rId21" Type="http://schemas.openxmlformats.org/officeDocument/2006/relationships/hyperlink" Target="https://lis-skins.com/ru/market/csgo/famas-waters-of-nephthys-field-tested/" TargetMode="External"/><Relationship Id="rId22" Type="http://schemas.openxmlformats.org/officeDocument/2006/relationships/hyperlink" Target="https://www.steamdt.com/en/mkt?search=FAMAS%20%7C%20Waters%20of%20Nephthys%20%28Field-Tested%29" TargetMode="External"/><Relationship Id="rId23" Type="http://schemas.openxmlformats.org/officeDocument/2006/relationships/hyperlink" Target="https://lis-skins.com/ru/market/csgo/desert-eagle-starcade-field-tested/" TargetMode="External"/><Relationship Id="rId24" Type="http://schemas.openxmlformats.org/officeDocument/2006/relationships/hyperlink" Target="https://www.steamdt.com/en/mkt?search=Desert%20Eagle%20%7C%20Starcade%20%28Field-Tested%29" TargetMode="External"/><Relationship Id="rId25" Type="http://schemas.openxmlformats.org/officeDocument/2006/relationships/hyperlink" Target="https://lis-skins.com/ru/market/csgo/p250-apep&apos;s-curse-field-tested/" TargetMode="External"/><Relationship Id="rId26" Type="http://schemas.openxmlformats.org/officeDocument/2006/relationships/hyperlink" Target="https://www.steamdt.com/en/mkt?search=P250%20%7C%20Apep%27s%20Curse%20%28Field-Tested%29" TargetMode="External"/><Relationship Id="rId27" Type="http://schemas.openxmlformats.org/officeDocument/2006/relationships/hyperlink" Target="https://lis-skins.com/ru/market/csgo/cz75-auto-emerald-factory-new/" TargetMode="External"/><Relationship Id="rId28" Type="http://schemas.openxmlformats.org/officeDocument/2006/relationships/hyperlink" Target="https://www.steamdt.com/en/mkt?search=CZ75-Auto%20%7C%20Emerald%20%28Factory%20New%29" TargetMode="External"/><Relationship Id="rId29" Type="http://schemas.openxmlformats.org/officeDocument/2006/relationships/hyperlink" Target="https://lis-skins.com/ru/market/csgo/dual-berettas-emerald-factory-new/" TargetMode="External"/><Relationship Id="rId30" Type="http://schemas.openxmlformats.org/officeDocument/2006/relationships/hyperlink" Target="https://www.steamdt.com/en/mkt?search=Dual%20Berettas%20%7C%20Emerald%20%28Factory%20New%29" TargetMode="External"/><Relationship Id="rId31" Type="http://schemas.openxmlformats.org/officeDocument/2006/relationships/hyperlink" Target="https://lis-skins.com/ru/market/csgo/scar-20-cyrex-factory-new/" TargetMode="External"/><Relationship Id="rId32" Type="http://schemas.openxmlformats.org/officeDocument/2006/relationships/hyperlink" Target="https://www.steamdt.com/en/mkt?search=SCAR-20%20%7C%20Cyrex%20%28Factory%20New%29" TargetMode="External"/><Relationship Id="rId33" Type="http://schemas.openxmlformats.org/officeDocument/2006/relationships/hyperlink" Target="https://lis-skins.com/ru/market/csgo/m4a4-polysoup-factory-new/" TargetMode="External"/><Relationship Id="rId34" Type="http://schemas.openxmlformats.org/officeDocument/2006/relationships/hyperlink" Target="https://www.steamdt.com/en/mkt?search=M4A4%20%7C%20Polysoup%20%28Factory%20New%29" TargetMode="External"/><Relationship Id="rId35" Type="http://schemas.openxmlformats.org/officeDocument/2006/relationships/hyperlink" Target="https://lis-skins.com/ru/market/csgo/galil-ar-cerberus-field-tested/" TargetMode="External"/><Relationship Id="rId36" Type="http://schemas.openxmlformats.org/officeDocument/2006/relationships/hyperlink" Target="https://www.steamdt.com/en/mkt?search=Galil%20AR%20%7C%20Cerberus%20%28Field-Tested%29" TargetMode="External"/><Relationship Id="rId37" Type="http://schemas.openxmlformats.org/officeDocument/2006/relationships/hyperlink" Target="https://lis-skins.com/ru/market/csgo/awp-fever-dream-factory-new/" TargetMode="External"/><Relationship Id="rId38" Type="http://schemas.openxmlformats.org/officeDocument/2006/relationships/hyperlink" Target="https://www.steamdt.com/en/mkt?search=AWP%20%7C%20Fever%20Dream%20%28Factory%20New%29" TargetMode="External"/><Relationship Id="rId39" Type="http://schemas.openxmlformats.org/officeDocument/2006/relationships/hyperlink" Target="https://lis-skins.com/ru/market/csgo/ump-45-blaze-factory-new/" TargetMode="External"/><Relationship Id="rId40" Type="http://schemas.openxmlformats.org/officeDocument/2006/relationships/hyperlink" Target="https://www.steamdt.com/en/mkt?search=UMP-45%20%7C%20Blaze%20%28Factory%20New%29" TargetMode="External"/><Relationship Id="rId41" Type="http://schemas.openxmlformats.org/officeDocument/2006/relationships/hyperlink" Target="https://lis-skins.com/ru/market/csgo/sg-553-integrale-minimal-wear/" TargetMode="External"/><Relationship Id="rId42" Type="http://schemas.openxmlformats.org/officeDocument/2006/relationships/hyperlink" Target="https://www.steamdt.com/en/mkt?search=SG%20553%20%7C%20Integrale%20%28Minimal%20Wear%29" TargetMode="External"/><Relationship Id="rId43" Type="http://schemas.openxmlformats.org/officeDocument/2006/relationships/hyperlink" Target="https://lis-skins.com/ru/market/csgo/famas-styx-minimal-wear/" TargetMode="External"/><Relationship Id="rId44" Type="http://schemas.openxmlformats.org/officeDocument/2006/relationships/hyperlink" Target="https://www.steamdt.com/en/mkt?search=FAMAS%20%7C%20Styx%20%28Minimal%20Wear%29" TargetMode="External"/><Relationship Id="rId45" Type="http://schemas.openxmlformats.org/officeDocument/2006/relationships/hyperlink" Target="https://lis-skins.com/ru/market/csgo/m4a4-polysoup-minimal-wear/" TargetMode="External"/><Relationship Id="rId46" Type="http://schemas.openxmlformats.org/officeDocument/2006/relationships/hyperlink" Target="https://www.steamdt.com/en/mkt?search=M4A4%20%7C%20Polysoup%20%28Minimal%20Wear%29" TargetMode="External"/><Relationship Id="rId47" Type="http://schemas.openxmlformats.org/officeDocument/2006/relationships/hyperlink" Target="https://lis-skins.com/ru/market/csgo/glock-18-ramese&apos;s-reach-minimal-wear/" TargetMode="External"/><Relationship Id="rId48" Type="http://schemas.openxmlformats.org/officeDocument/2006/relationships/hyperlink" Target="https://www.steamdt.com/en/mkt?search=Glock-18%20%7C%20Ramese%27s%20Reach%20%28Minimal%20Wear%29" TargetMode="External"/><Relationship Id="rId49" Type="http://schemas.openxmlformats.org/officeDocument/2006/relationships/hyperlink" Target="https://lis-skins.com/ru/market/csgo/mp9-music-box-factory-new/" TargetMode="External"/><Relationship Id="rId50" Type="http://schemas.openxmlformats.org/officeDocument/2006/relationships/hyperlink" Target="https://www.steamdt.com/en/mkt?search=MP9%20%7C%20Music%20Box%20%28Factory%20New%29" TargetMode="External"/><Relationship Id="rId51" Type="http://schemas.openxmlformats.org/officeDocument/2006/relationships/hyperlink" Target="https://lis-skins.com/ru/market/csgo/tec-9-brass-minimal-wear/" TargetMode="External"/><Relationship Id="rId52" Type="http://schemas.openxmlformats.org/officeDocument/2006/relationships/hyperlink" Target="https://www.steamdt.com/en/mkt?search=Tec-9%20%7C%20Brass%20%28Minimal%20Wear%29" TargetMode="External"/><Relationship Id="rId53" Type="http://schemas.openxmlformats.org/officeDocument/2006/relationships/hyperlink" Target="https://lis-skins.com/ru/market/csgo/sticker-movistar-riders-holo-stockholm-2021/" TargetMode="External"/><Relationship Id="rId54" Type="http://schemas.openxmlformats.org/officeDocument/2006/relationships/hyperlink" Target="https://www.steamdt.com/en/mkt?search=Sticker%20%7C%20Movistar%20Riders%20%28Holo%29%20%7C%20Stockholm%202021" TargetMode="External"/><Relationship Id="rId55" Type="http://schemas.openxmlformats.org/officeDocument/2006/relationships/hyperlink" Target="https://lis-skins.com/ru/market/csgo/&apos;the-doctor&apos;-romanov-sabre/" TargetMode="External"/><Relationship Id="rId56" Type="http://schemas.openxmlformats.org/officeDocument/2006/relationships/hyperlink" Target="https://www.steamdt.com/en/mkt?search=%27The%20Doctor%27%20Romanov%20%7C%20Sabre" TargetMode="External"/><Relationship Id="rId57" Type="http://schemas.openxmlformats.org/officeDocument/2006/relationships/hyperlink" Target="https://lis-skins.com/ru/market/csgo/michael-syfers-fbi-sniper/" TargetMode="External"/><Relationship Id="rId58" Type="http://schemas.openxmlformats.org/officeDocument/2006/relationships/hyperlink" Target="https://www.steamdt.com/en/mkt?search=Michael%20Syfers%20%7C%20FBI%20Sniper" TargetMode="External"/><Relationship Id="rId59" Type="http://schemas.openxmlformats.org/officeDocument/2006/relationships/hyperlink" Target="https://lis-skins.com/ru/market/csgo/five-seven-copper-galaxy-minimal-wear/" TargetMode="External"/><Relationship Id="rId60" Type="http://schemas.openxmlformats.org/officeDocument/2006/relationships/hyperlink" Target="https://www.steamdt.com/en/mkt?search=Five-SeveN%20%7C%20Copper%20Galaxy%20%28Minimal%20Wear%29" TargetMode="External"/><Relationship Id="rId61" Type="http://schemas.openxmlformats.org/officeDocument/2006/relationships/hyperlink" Target="https://lis-skins.com/ru/market/csgo/sticker-great-wave-foil/" TargetMode="External"/><Relationship Id="rId62" Type="http://schemas.openxmlformats.org/officeDocument/2006/relationships/hyperlink" Target="https://www.steamdt.com/en/mkt?search=Sticker%20%7C%20Great%20Wave%20%28Foil%29" TargetMode="External"/><Relationship Id="rId63" Type="http://schemas.openxmlformats.org/officeDocument/2006/relationships/hyperlink" Target="https://lis-skins.com/ru/market/csgo/sg-553-candy-apple-factory-new/" TargetMode="External"/><Relationship Id="rId64" Type="http://schemas.openxmlformats.org/officeDocument/2006/relationships/hyperlink" Target="https://www.steamdt.com/en/mkt?search=SG%20553%20%7C%20Candy%20Apple%20%28Factory%20New%29" TargetMode="External"/><Relationship Id="rId65" Type="http://schemas.openxmlformats.org/officeDocument/2006/relationships/hyperlink" Target="https://lis-skins.com/ru/market/csgo/m4a4-evil-daimyo-factory-new/" TargetMode="External"/><Relationship Id="rId66" Type="http://schemas.openxmlformats.org/officeDocument/2006/relationships/hyperlink" Target="https://www.steamdt.com/en/mkt?search=M4A4%20%7C%20Evil%20Daimyo%20%28Factory%20New%29" TargetMode="External"/><Relationship Id="rId67" Type="http://schemas.openxmlformats.org/officeDocument/2006/relationships/hyperlink" Target="https://lis-skins.com/ru/market/csgo/awp-exoskeleton-minimal-wear/" TargetMode="External"/><Relationship Id="rId68" Type="http://schemas.openxmlformats.org/officeDocument/2006/relationships/hyperlink" Target="https://www.steamdt.com/en/mkt?search=AWP%20%7C%20Exoskeleton%20%28Minimal%20Wear%29" TargetMode="External"/><Relationship Id="rId69" Type="http://schemas.openxmlformats.org/officeDocument/2006/relationships/hyperlink" Target="https://lis-skins.com/ru/market/csgo/the-elite-mr.-muhlik-elite-crew/" TargetMode="External"/><Relationship Id="rId70" Type="http://schemas.openxmlformats.org/officeDocument/2006/relationships/hyperlink" Target="https://www.steamdt.com/en/mkt?search=The%20Elite%20Mr.%20Muhlik%20%7C%20Elite%20Crew" TargetMode="External"/><Relationship Id="rId71" Type="http://schemas.openxmlformats.org/officeDocument/2006/relationships/hyperlink" Target="https://lis-skins.com/ru/market/csgo/usp-s-guardian-factory-new/" TargetMode="External"/><Relationship Id="rId72" Type="http://schemas.openxmlformats.org/officeDocument/2006/relationships/hyperlink" Target="https://www.steamdt.com/en/mkt?search=USP-S%20%7C%20Guardian%20%28Factory%20New%29" TargetMode="External"/><Relationship Id="rId73" Type="http://schemas.openxmlformats.org/officeDocument/2006/relationships/hyperlink" Target="https://lis-skins.com/ru/market/csgo/p250-epicenter-minimal-wear/" TargetMode="External"/><Relationship Id="rId74" Type="http://schemas.openxmlformats.org/officeDocument/2006/relationships/hyperlink" Target="https://www.steamdt.com/en/mkt?search=P250%20%7C%20Epicenter%20%28Minimal%20Wear%29" TargetMode="External"/><Relationship Id="rId75" Type="http://schemas.openxmlformats.org/officeDocument/2006/relationships/hyperlink" Target="https://lis-skins.com/ru/market/csgo/sticker-cloud9-holo-antwerp-2022/" TargetMode="External"/><Relationship Id="rId76" Type="http://schemas.openxmlformats.org/officeDocument/2006/relationships/hyperlink" Target="https://www.steamdt.com/en/mkt?search=Sticker%20%7C%20Cloud9%20%28Holo%29%20%7C%20Antwerp%202022" TargetMode="External"/><Relationship Id="rId77" Type="http://schemas.openxmlformats.org/officeDocument/2006/relationships/hyperlink" Target="https://lis-skins.com/ru/market/csgo/famas-styx-field-tested/" TargetMode="External"/><Relationship Id="rId78" Type="http://schemas.openxmlformats.org/officeDocument/2006/relationships/hyperlink" Target="https://www.steamdt.com/en/mkt?search=FAMAS%20%7C%20Styx%20%28Field-Tested%29" TargetMode="External"/><Relationship Id="rId79" Type="http://schemas.openxmlformats.org/officeDocument/2006/relationships/hyperlink" Target="https://lis-skins.com/ru/market/csgo/glock-18-ramese&apos;s-reach-field-tested/" TargetMode="External"/><Relationship Id="rId80" Type="http://schemas.openxmlformats.org/officeDocument/2006/relationships/hyperlink" Target="https://www.steamdt.com/en/mkt?search=Glock-18%20%7C%20Ramese%27s%20Reach%20%28Field-Tested%29" TargetMode="External"/><Relationship Id="rId81" Type="http://schemas.openxmlformats.org/officeDocument/2006/relationships/hyperlink" Target="https://lis-skins.com/ru/market/csgo/osiris-elite-crew/" TargetMode="External"/><Relationship Id="rId82" Type="http://schemas.openxmlformats.org/officeDocument/2006/relationships/hyperlink" Target="https://www.steamdt.com/en/mkt?search=Osiris%20%7C%20Elite%20Crew" TargetMode="External"/><Relationship Id="rId83" Type="http://schemas.openxmlformats.org/officeDocument/2006/relationships/hyperlink" Target="https://lis-skins.com/ru/market/csgo/b-squadron-officer-sas/" TargetMode="External"/><Relationship Id="rId84" Type="http://schemas.openxmlformats.org/officeDocument/2006/relationships/hyperlink" Target="https://www.steamdt.com/en/mkt?search=B%20Squadron%20Officer%20%7C%20SAS" TargetMode="External"/><Relationship Id="rId85" Type="http://schemas.openxmlformats.org/officeDocument/2006/relationships/hyperlink" Target="https://lis-skins.com/ru/market/csgo/aug-carved-jade-minimal-wear/" TargetMode="External"/><Relationship Id="rId86" Type="http://schemas.openxmlformats.org/officeDocument/2006/relationships/hyperlink" Target="https://www.steamdt.com/en/mkt?search=AUG%20%7C%20Carved%20Jade%20%28Minimal%20Wear%29" TargetMode="External"/><Relationship Id="rId87" Type="http://schemas.openxmlformats.org/officeDocument/2006/relationships/hyperlink" Target="https://lis-skins.com/ru/market/csgo/ssg-08-rapid-transit-factory-new/" TargetMode="External"/><Relationship Id="rId88" Type="http://schemas.openxmlformats.org/officeDocument/2006/relationships/hyperlink" Target="https://www.steamdt.com/en/mkt?search=SSG%2008%20%7C%20Rapid%20Transit%20%28Factory%20New%29" TargetMode="External"/><Relationship Id="rId89" Type="http://schemas.openxmlformats.org/officeDocument/2006/relationships/hyperlink" Target="https://lis-skins.com/ru/market/csgo/markus-delrow-fbi-hrt/" TargetMode="External"/><Relationship Id="rId90" Type="http://schemas.openxmlformats.org/officeDocument/2006/relationships/hyperlink" Target="https://www.steamdt.com/en/mkt?search=Markus%20Delrow%20%7C%20FBI%20HRT" TargetMode="External"/><Relationship Id="rId91" Type="http://schemas.openxmlformats.org/officeDocument/2006/relationships/hyperlink" Target="https://lis-skins.com/ru/market/csgo/sticker-great-wave-holo/" TargetMode="External"/><Relationship Id="rId92" Type="http://schemas.openxmlformats.org/officeDocument/2006/relationships/hyperlink" Target="https://www.steamdt.com/en/mkt?search=Sticker%20%7C%20Great%20Wave%20%28Holo%29" TargetMode="External"/><Relationship Id="rId93" Type="http://schemas.openxmlformats.org/officeDocument/2006/relationships/hyperlink" Target="https://lis-skins.com/ru/market/csgo/sticker-9z-team-holo-antwerp-2022/" TargetMode="External"/><Relationship Id="rId94" Type="http://schemas.openxmlformats.org/officeDocument/2006/relationships/hyperlink" Target="https://www.steamdt.com/en/mkt?search=Sticker%20%7C%209z%20Team%20%28Holo%29%20%7C%20Antwerp%202022" TargetMode="External"/><Relationship Id="rId95" Type="http://schemas.openxmlformats.org/officeDocument/2006/relationships/hyperlink" Target="https://lis-skins.com/ru/market/csgo/sticker-copenhagen-flames-holo-stockholm-2021/" TargetMode="External"/><Relationship Id="rId96" Type="http://schemas.openxmlformats.org/officeDocument/2006/relationships/hyperlink" Target="https://www.steamdt.com/en/mkt?search=Sticker%20%7C%20Copenhagen%20Flames%20%28Holo%29%20%7C%20Stockholm%202021" TargetMode="External"/><Relationship Id="rId97" Type="http://schemas.openxmlformats.org/officeDocument/2006/relationships/hyperlink" Target="https://lis-skins.com/ru/market/csgo/slingshot-phoenix/" TargetMode="External"/><Relationship Id="rId98" Type="http://schemas.openxmlformats.org/officeDocument/2006/relationships/hyperlink" Target="https://www.steamdt.com/en/mkt?search=Slingshot%20%7C%20Phoenix" TargetMode="External"/><Relationship Id="rId99" Type="http://schemas.openxmlformats.org/officeDocument/2006/relationships/hyperlink" Target="https://lis-skins.com/ru/market/csgo/sg-553-integrale-field-tested/" TargetMode="External"/><Relationship Id="rId100" Type="http://schemas.openxmlformats.org/officeDocument/2006/relationships/hyperlink" Target="https://www.steamdt.com/en/mkt?search=SG%20553%20%7C%20Integrale%20%28Field-Tested%29" TargetMode="External"/><Relationship Id="rId101" Type="http://schemas.openxmlformats.org/officeDocument/2006/relationships/hyperlink" Target="https://lis-skins.com/ru/market/csgo/rezan-the-ready-sabre/" TargetMode="External"/><Relationship Id="rId102" Type="http://schemas.openxmlformats.org/officeDocument/2006/relationships/hyperlink" Target="https://www.steamdt.com/en/mkt?search=Rezan%20The%20Ready%20%7C%20Sabre" TargetMode="External"/><Relationship Id="rId103" Type="http://schemas.openxmlformats.org/officeDocument/2006/relationships/hyperlink" Target="https://lis-skins.com/ru/market/csgo/blackwolf-sabre/" TargetMode="External"/><Relationship Id="rId104" Type="http://schemas.openxmlformats.org/officeDocument/2006/relationships/hyperlink" Target="https://www.steamdt.com/en/mkt?search=Blackwolf%20%7C%20Sabre" TargetMode="External"/><Relationship Id="rId105" Type="http://schemas.openxmlformats.org/officeDocument/2006/relationships/hyperlink" Target="https://lis-skins.com/ru/market/csgo/rezan-the-redshirt-sabre/" TargetMode="External"/><Relationship Id="rId106" Type="http://schemas.openxmlformats.org/officeDocument/2006/relationships/hyperlink" Target="https://www.steamdt.com/en/mkt?search=Rezan%20the%20Redshirt%20%7C%20Sabre" TargetMode="External"/><Relationship Id="rId107" Type="http://schemas.openxmlformats.org/officeDocument/2006/relationships/hyperlink" Target="https://lis-skins.com/ru/market/csgo/prof.-shahmat-elite-crew/" TargetMode="External"/><Relationship Id="rId108" Type="http://schemas.openxmlformats.org/officeDocument/2006/relationships/hyperlink" Target="https://www.steamdt.com/en/mkt?search=Prof.%20Shahmat%20%7C%20Elite%20Crew" TargetMode="External"/><Relationship Id="rId109" Type="http://schemas.openxmlformats.org/officeDocument/2006/relationships/hyperlink" Target="https://lis-skins.com/ru/market/csgo/sticker-entropiq-holo-stockholm-2021/" TargetMode="External"/><Relationship Id="rId110" Type="http://schemas.openxmlformats.org/officeDocument/2006/relationships/hyperlink" Target="https://www.steamdt.com/en/mkt?search=Sticker%20%7C%20Entropiq%20%28Holo%29%20%7C%20Stockholm%202021" TargetMode="External"/><Relationship Id="rId111" Type="http://schemas.openxmlformats.org/officeDocument/2006/relationships/hyperlink" Target="https://lis-skins.com/ru/market/csgo/sticker-outsiders-holo-antwerp-2022/" TargetMode="External"/><Relationship Id="rId112" Type="http://schemas.openxmlformats.org/officeDocument/2006/relationships/hyperlink" Target="https://www.steamdt.com/en/mkt?search=Sticker%20%7C%20Outsiders%20%28Holo%29%20%7C%20Antwerp%202022" TargetMode="External"/><Relationship Id="rId113" Type="http://schemas.openxmlformats.org/officeDocument/2006/relationships/hyperlink" Target="https://lis-skins.com/ru/market/csgo/sticker-liquid-fire/" TargetMode="External"/><Relationship Id="rId114" Type="http://schemas.openxmlformats.org/officeDocument/2006/relationships/hyperlink" Target="https://www.steamdt.com/en/mkt?search=Sticker%20%7C%20Liquid%20Fire" TargetMode="External"/><Relationship Id="rId115" Type="http://schemas.openxmlformats.org/officeDocument/2006/relationships/hyperlink" Target="https://lis-skins.com/ru/market/csgo/sticker-team-spirit-holo-stockholm-2021/" TargetMode="External"/><Relationship Id="rId116" Type="http://schemas.openxmlformats.org/officeDocument/2006/relationships/hyperlink" Target="https://www.steamdt.com/en/mkt?search=Sticker%20%7C%20Team%20Spirit%20%28Holo%29%20%7C%20Stockholm%202021" TargetMode="External"/><Relationship Id="rId117" Type="http://schemas.openxmlformats.org/officeDocument/2006/relationships/hyperlink" Target="https://lis-skins.com/ru/market/csgo/ak-47-crossfade-factory-new/" TargetMode="External"/><Relationship Id="rId118" Type="http://schemas.openxmlformats.org/officeDocument/2006/relationships/hyperlink" Target="https://www.steamdt.com/en/mkt?search=AK-47%20%7C%20Crossfade%20%28Factory%20New%29" TargetMode="External"/><Relationship Id="rId119" Type="http://schemas.openxmlformats.org/officeDocument/2006/relationships/hyperlink" Target="https://lis-skins.com/ru/market/csgo/ak-47-slate-minimal-wear/" TargetMode="External"/><Relationship Id="rId120" Type="http://schemas.openxmlformats.org/officeDocument/2006/relationships/hyperlink" Target="https://www.steamdt.com/en/mkt?search=AK-47%20%7C%20Slate%20%28Minimal%20Wear%29" TargetMode="External"/><Relationship Id="rId121" Type="http://schemas.openxmlformats.org/officeDocument/2006/relationships/hyperlink" Target="https://lis-skins.com/ru/market/csgo/tec-9-brass-field-tested/" TargetMode="External"/><Relationship Id="rId122" Type="http://schemas.openxmlformats.org/officeDocument/2006/relationships/hyperlink" Target="https://www.steamdt.com/en/mkt?search=Tec-9%20%7C%20Brass%20%28Field-Tested%29" TargetMode="External"/><Relationship Id="rId123" Type="http://schemas.openxmlformats.org/officeDocument/2006/relationships/hyperlink" Target="https://lis-skins.com/ru/market/csgo/dragomir-sabre/" TargetMode="External"/><Relationship Id="rId124" Type="http://schemas.openxmlformats.org/officeDocument/2006/relationships/hyperlink" Target="https://www.steamdt.com/en/mkt?search=Dragomir%20%7C%20Sabre" TargetMode="External"/><Relationship Id="rId125" Type="http://schemas.openxmlformats.org/officeDocument/2006/relationships/hyperlink" Target="https://lis-skins.com/ru/market/csgo/maximus-sabre/" TargetMode="External"/><Relationship Id="rId126" Type="http://schemas.openxmlformats.org/officeDocument/2006/relationships/hyperlink" Target="https://www.steamdt.com/en/mkt?search=Maximus%20%7C%20Sabre" TargetMode="External"/><Relationship Id="rId127" Type="http://schemas.openxmlformats.org/officeDocument/2006/relationships/hyperlink" Target="https://lis-skins.com/ru/market/csgo/sticker-wildcard-holo-shanghai-2024/" TargetMode="External"/><Relationship Id="rId128" Type="http://schemas.openxmlformats.org/officeDocument/2006/relationships/hyperlink" Target="https://www.steamdt.com/en/mkt?search=Sticker%20%7C%20Wildcard%20%28Holo%29%20%7C%20Shanghai%202024" TargetMode="External"/><Relationship Id="rId129" Type="http://schemas.openxmlformats.org/officeDocument/2006/relationships/hyperlink" Target="https://lis-skins.com/ru/market/csgo/sticker-big-holo-stockholm-2021/" TargetMode="External"/><Relationship Id="rId130" Type="http://schemas.openxmlformats.org/officeDocument/2006/relationships/hyperlink" Target="https://www.steamdt.com/en/mkt?search=Sticker%20%7C%20BIG%20%28Holo%29%20%7C%20Stockholm%202021" TargetMode="External"/><Relationship Id="rId131" Type="http://schemas.openxmlformats.org/officeDocument/2006/relationships/hyperlink" Target="https://lis-skins.com/ru/market/csgo/sticker-copenhagen-flames-holo-antwerp-2022/" TargetMode="External"/><Relationship Id="rId132" Type="http://schemas.openxmlformats.org/officeDocument/2006/relationships/hyperlink" Target="https://www.steamdt.com/en/mkt?search=Sticker%20%7C%20Copenhagen%20Flames%20%28Holo%29%20%7C%20Antwerp%202022" TargetMode="External"/><Relationship Id="rId133" Type="http://schemas.openxmlformats.org/officeDocument/2006/relationships/hyperlink" Target="https://lis-skins.com/ru/market/csgo/sticker-sharks-esports-holo-stockholm-2021/" TargetMode="External"/><Relationship Id="rId134" Type="http://schemas.openxmlformats.org/officeDocument/2006/relationships/hyperlink" Target="https://www.steamdt.com/en/mkt?search=Sticker%20%7C%20Sharks%20Esports%20%28Holo%29%20%7C%20Stockholm%202021" TargetMode="External"/><Relationship Id="rId135" Type="http://schemas.openxmlformats.org/officeDocument/2006/relationships/hyperlink" Target="https://lis-skins.com/ru/market/csgo/sticker-virtus.pro-holo-stockholm-2021/" TargetMode="External"/><Relationship Id="rId136" Type="http://schemas.openxmlformats.org/officeDocument/2006/relationships/hyperlink" Target="https://www.steamdt.com/en/mkt?search=Sticker%20%7C%20Virtus.Pro%20%28Holo%29%20%7C%20Stockholm%202021" TargetMode="External"/><Relationship Id="rId137" Type="http://schemas.openxmlformats.org/officeDocument/2006/relationships/hyperlink" Target="https://lis-skins.com/ru/market/csgo/sticker-godsent-holo-stockholm-2021/" TargetMode="External"/><Relationship Id="rId138" Type="http://schemas.openxmlformats.org/officeDocument/2006/relationships/hyperlink" Target="https://www.steamdt.com/en/mkt?search=Sticker%20%7C%20GODSENT%20%28Holo%29%20%7C%20Stockholm%202021" TargetMode="External"/><Relationship Id="rId139" Type="http://schemas.openxmlformats.org/officeDocument/2006/relationships/hyperlink" Target="https://lis-skins.com/ru/market/csgo/sticker-team-spirit-holo-shanghai-2024/" TargetMode="External"/><Relationship Id="rId140" Type="http://schemas.openxmlformats.org/officeDocument/2006/relationships/hyperlink" Target="https://www.steamdt.com/en/mkt?search=Sticker%20%7C%20Team%20Spirit%20%28Holo%29%20%7C%20Shanghai%202024" TargetMode="External"/><Relationship Id="rId141" Type="http://schemas.openxmlformats.org/officeDocument/2006/relationships/hyperlink" Target="https://lis-skins.com/ru/market/csgo/cz75-auto-tacticat-factory-new/" TargetMode="External"/><Relationship Id="rId142" Type="http://schemas.openxmlformats.org/officeDocument/2006/relationships/hyperlink" Target="https://www.steamdt.com/en/mkt?search=CZ75-Auto%20%7C%20Tacticat%20%28Factory%20New%29" TargetMode="External"/><Relationship Id="rId143" Type="http://schemas.openxmlformats.org/officeDocument/2006/relationships/hyperlink" Target="https://lis-skins.com/ru/market/csgo/ak-47-phantom-disruptor-field-tested/" TargetMode="External"/><Relationship Id="rId144" Type="http://schemas.openxmlformats.org/officeDocument/2006/relationships/hyperlink" Target="https://www.steamdt.com/en/mkt?search=AK-47%20%7C%20Phantom%20Disruptor%20%28Field-Tested%29" TargetMode="External"/><Relationship Id="rId145" Type="http://schemas.openxmlformats.org/officeDocument/2006/relationships/hyperlink" Target="https://lis-skins.com/ru/market/csgo/sticker-furia-holo-stockholm-2021/" TargetMode="External"/><Relationship Id="rId146" Type="http://schemas.openxmlformats.org/officeDocument/2006/relationships/hyperlink" Target="https://www.steamdt.com/en/mkt?search=Sticker%20%7C%20FURIA%20%28Holo%29%20%7C%20Stockholm%202021" TargetMode="External"/><Relationship Id="rId147" Type="http://schemas.openxmlformats.org/officeDocument/2006/relationships/hyperlink" Target="https://lis-skins.com/ru/market/csgo/sticker-evil-geniuses-holo-stockholm-2021/" TargetMode="External"/><Relationship Id="rId148" Type="http://schemas.openxmlformats.org/officeDocument/2006/relationships/hyperlink" Target="https://www.steamdt.com/en/mkt?search=Sticker%20%7C%20Evil%20Geniuses%20%28Holo%29%20%7C%20Stockholm%202021" TargetMode="External"/><Relationship Id="rId149" Type="http://schemas.openxmlformats.org/officeDocument/2006/relationships/hyperlink" Target="https://lis-skins.com/ru/market/csgo/mac-10-strats-factory-new/" TargetMode="External"/><Relationship Id="rId150" Type="http://schemas.openxmlformats.org/officeDocument/2006/relationships/hyperlink" Target="https://www.steamdt.com/en/mkt?search=MAC-10%20%7C%20Strats%20%28Factory%20New%29" TargetMode="External"/><Relationship Id="rId151" Type="http://schemas.openxmlformats.org/officeDocument/2006/relationships/hyperlink" Target="https://lis-skins.com/ru/market/csgo/sticker-imperial-esports-holo-antwerp-2022/" TargetMode="External"/><Relationship Id="rId152" Type="http://schemas.openxmlformats.org/officeDocument/2006/relationships/hyperlink" Target="https://www.steamdt.com/en/mkt?search=Sticker%20%7C%20Imperial%20Esports%20%28Holo%29%20%7C%20Antwerp%202022" TargetMode="External"/><Relationship Id="rId153" Type="http://schemas.openxmlformats.org/officeDocument/2006/relationships/hyperlink" Target="https://lis-skins.com/ru/market/csgo/awp-black-nile-minimal-wear/" TargetMode="External"/><Relationship Id="rId154" Type="http://schemas.openxmlformats.org/officeDocument/2006/relationships/hyperlink" Target="https://www.steamdt.com/en/mkt?search=AWP%20%7C%20Black%20Nile%20%28Minimal%20Wear%29" TargetMode="External"/><Relationship Id="rId155" Type="http://schemas.openxmlformats.org/officeDocument/2006/relationships/hyperlink" Target="https://lis-skins.com/ru/market/csgo/sticker-g2-esports-holo-antwerp-2022/" TargetMode="External"/><Relationship Id="rId156" Type="http://schemas.openxmlformats.org/officeDocument/2006/relationships/hyperlink" Target="https://www.steamdt.com/en/mkt?search=Sticker%20%7C%20G2%20Esports%20%28Holo%29%20%7C%20Antwerp%202022" TargetMode="External"/><Relationship Id="rId157" Type="http://schemas.openxmlformats.org/officeDocument/2006/relationships/hyperlink" Target="https://lis-skins.com/ru/market/csgo/sticker-team-spirit-holo-antwerp-2022/" TargetMode="External"/><Relationship Id="rId158" Type="http://schemas.openxmlformats.org/officeDocument/2006/relationships/hyperlink" Target="https://www.steamdt.com/en/mkt?search=Sticker%20%7C%20Team%20Spirit%20%28Holo%29%20%7C%20Antwerp%202022" TargetMode="External"/><Relationship Id="rId159" Type="http://schemas.openxmlformats.org/officeDocument/2006/relationships/hyperlink" Target="https://lis-skins.com/ru/market/csgo/r8-revolver-blaze-factory-new/" TargetMode="External"/><Relationship Id="rId160" Type="http://schemas.openxmlformats.org/officeDocument/2006/relationships/hyperlink" Target="https://www.steamdt.com/en/mkt?search=R8%20Revolver%20%7C%20Blaze%20%28Factory%20New%29" TargetMode="External"/><Relationship Id="rId161" Type="http://schemas.openxmlformats.org/officeDocument/2006/relationships/hyperlink" Target="https://lis-skins.com/ru/market/csgo/sticker-stone-scales-foil/" TargetMode="External"/><Relationship Id="rId162" Type="http://schemas.openxmlformats.org/officeDocument/2006/relationships/hyperlink" Target="https://www.steamdt.com/en/mkt?search=Sticker%20%7C%20Stone%20Scales%20%28Foil%29" TargetMode="External"/><Relationship Id="rId163" Type="http://schemas.openxmlformats.org/officeDocument/2006/relationships/hyperlink" Target="https://lis-skins.com/ru/market/csgo/sticker-gold-web-foil/" TargetMode="External"/><Relationship Id="rId164" Type="http://schemas.openxmlformats.org/officeDocument/2006/relationships/hyperlink" Target="https://www.steamdt.com/en/mkt?search=Sticker%20%7C%20Gold%20Web%20%28Foil%29" TargetMode="External"/><Relationship Id="rId165" Type="http://schemas.openxmlformats.org/officeDocument/2006/relationships/hyperlink" Target="https://lis-skins.com/ru/market/csgo/sticker-astralis-holo-stockholm-2021/" TargetMode="External"/><Relationship Id="rId166" Type="http://schemas.openxmlformats.org/officeDocument/2006/relationships/hyperlink" Target="https://www.steamdt.com/en/mkt?search=Sticker%20%7C%20Astralis%20%28Holo%29%20%7C%20Stockholm%202021" TargetMode="External"/><Relationship Id="rId167" Type="http://schemas.openxmlformats.org/officeDocument/2006/relationships/hyperlink" Target="https://lis-skins.com/ru/market/csgo/p250-epicenter-field-tested/" TargetMode="External"/><Relationship Id="rId168" Type="http://schemas.openxmlformats.org/officeDocument/2006/relationships/hyperlink" Target="https://www.steamdt.com/en/mkt?search=P250%20%7C%20Epicenter%20%28Field-Tested%29" TargetMode="External"/><Relationship Id="rId169" Type="http://schemas.openxmlformats.org/officeDocument/2006/relationships/hyperlink" Target="https://lis-skins.com/ru/market/csgo/sticker-pain-gaming-holo-stockholm-2021/" TargetMode="External"/><Relationship Id="rId170" Type="http://schemas.openxmlformats.org/officeDocument/2006/relationships/hyperlink" Target="https://www.steamdt.com/en/mkt?search=Sticker%20%7C%20paiN%20Gaming%20%28Holo%29%20%7C%20Stockholm%202021" TargetMode="External"/><Relationship Id="rId171" Type="http://schemas.openxmlformats.org/officeDocument/2006/relationships/hyperlink" Target="https://lis-skins.com/ru/market/csgo/sticker-renegades-holo-stockholm-2021/" TargetMode="External"/><Relationship Id="rId172" Type="http://schemas.openxmlformats.org/officeDocument/2006/relationships/hyperlink" Target="https://www.steamdt.com/en/mkt?search=Sticker%20%7C%20Renegades%20%28Holo%29%20%7C%20Stockholm%202021" TargetMode="External"/><Relationship Id="rId173" Type="http://schemas.openxmlformats.org/officeDocument/2006/relationships/hyperlink" Target="https://lis-skins.com/ru/market/csgo/sticker-fnatic-holo-shanghai-2024/" TargetMode="External"/><Relationship Id="rId174" Type="http://schemas.openxmlformats.org/officeDocument/2006/relationships/hyperlink" Target="https://www.steamdt.com/en/mkt?search=Sticker%20%7C%20Fnatic%20%28Holo%29%20%7C%20Shanghai%202024" TargetMode="External"/><Relationship Id="rId175" Type="http://schemas.openxmlformats.org/officeDocument/2006/relationships/hyperlink" Target="https://lis-skins.com/ru/market/csgo/ak-47-slate-field-tested/" TargetMode="External"/><Relationship Id="rId176" Type="http://schemas.openxmlformats.org/officeDocument/2006/relationships/hyperlink" Target="https://www.steamdt.com/en/mkt?search=AK-47%20%7C%20Slate%20%28Field-Tested%29" TargetMode="External"/><Relationship Id="rId177" Type="http://schemas.openxmlformats.org/officeDocument/2006/relationships/hyperlink" Target="https://lis-skins.com/ru/market/csgo/sticker-gambit-gaming-holo-stockholm-2021/" TargetMode="External"/><Relationship Id="rId178" Type="http://schemas.openxmlformats.org/officeDocument/2006/relationships/hyperlink" Target="https://www.steamdt.com/en/mkt?search=Sticker%20%7C%20Gambit%20Gaming%20%28Holo%29%20%7C%20Stockholm%202021" TargetMode="External"/><Relationship Id="rId179" Type="http://schemas.openxmlformats.org/officeDocument/2006/relationships/hyperlink" Target="https://lis-skins.com/ru/market/csgo/sticker-complexity-gaming-holo-antwerp-2022/" TargetMode="External"/><Relationship Id="rId180" Type="http://schemas.openxmlformats.org/officeDocument/2006/relationships/hyperlink" Target="https://www.steamdt.com/en/mkt?search=Sticker%20%7C%20Complexity%20Gaming%20%28Holo%29%20%7C%20Antwerp%202022" TargetMode="External"/><Relationship Id="rId181" Type="http://schemas.openxmlformats.org/officeDocument/2006/relationships/hyperlink" Target="https://lis-skins.com/ru/market/csgo/sticker-team-liquid-holo-stockholm-2021/" TargetMode="External"/><Relationship Id="rId182" Type="http://schemas.openxmlformats.org/officeDocument/2006/relationships/hyperlink" Target="https://www.steamdt.com/en/mkt?search=Sticker%20%7C%20Team%20Liquid%20%28Holo%29%20%7C%20Stockholm%202021" TargetMode="External"/><Relationship Id="rId183" Type="http://schemas.openxmlformats.org/officeDocument/2006/relationships/hyperlink" Target="https://lis-skins.com/ru/market/csgo/sticker-perfect-world-holo-shanghai-2024/" TargetMode="External"/><Relationship Id="rId184" Type="http://schemas.openxmlformats.org/officeDocument/2006/relationships/hyperlink" Target="https://www.steamdt.com/en/mkt?search=Sticker%20%7C%20Perfect%20World%20%28Holo%29%20%7C%20Shanghai%202024" TargetMode="External"/><Relationship Id="rId185" Type="http://schemas.openxmlformats.org/officeDocument/2006/relationships/hyperlink" Target="https://lis-skins.com/ru/market/csgo/m4a4-turbine-minimal-wear/" TargetMode="External"/><Relationship Id="rId186" Type="http://schemas.openxmlformats.org/officeDocument/2006/relationships/hyperlink" Target="https://www.steamdt.com/en/mkt?search=M4A4%20%7C%20Turbine%20%28Minimal%20Wear%29" TargetMode="External"/><Relationship Id="rId187" Type="http://schemas.openxmlformats.org/officeDocument/2006/relationships/hyperlink" Target="https://lis-skins.com/ru/market/csgo/galil-ar-tuxedo-factory-new/" TargetMode="External"/><Relationship Id="rId188" Type="http://schemas.openxmlformats.org/officeDocument/2006/relationships/hyperlink" Target="https://www.steamdt.com/en/mkt?search=Galil%20AR%20%7C%20Tuxedo%20%28Factory%20New%29" TargetMode="External"/><Relationship Id="rId189" Type="http://schemas.openxmlformats.org/officeDocument/2006/relationships/hyperlink" Target="https://lis-skins.com/ru/market/csgo/sticker-g2-esports-holo-stockholm-2021/" TargetMode="External"/><Relationship Id="rId190" Type="http://schemas.openxmlformats.org/officeDocument/2006/relationships/hyperlink" Target="https://www.steamdt.com/en/mkt?search=Sticker%20%7C%20G2%20Esports%20%28Holo%29%20%7C%20Stockholm%202021" TargetMode="External"/><Relationship Id="rId191" Type="http://schemas.openxmlformats.org/officeDocument/2006/relationships/hyperlink" Target="https://lis-skins.com/ru/market/csgo/xm1014-seasons-factory-new/" TargetMode="External"/><Relationship Id="rId192" Type="http://schemas.openxmlformats.org/officeDocument/2006/relationships/hyperlink" Target="https://www.steamdt.com/en/mkt?search=XM1014%20%7C%20Seasons%20%28Factory%20New%29" TargetMode="External"/><Relationship Id="rId193" Type="http://schemas.openxmlformats.org/officeDocument/2006/relationships/hyperlink" Target="https://lis-skins.com/ru/market/csgo/sticker-heroic-holo-stockholm-2021/" TargetMode="External"/><Relationship Id="rId194" Type="http://schemas.openxmlformats.org/officeDocument/2006/relationships/hyperlink" Target="https://www.steamdt.com/en/mkt?search=Sticker%20%7C%20Heroic%20%28Holo%29%20%7C%20Stockholm%202021" TargetMode="External"/><Relationship Id="rId195" Type="http://schemas.openxmlformats.org/officeDocument/2006/relationships/hyperlink" Target="https://lis-skins.com/ru/market/csgo/sticker-vitality-holo-stockholm-2021/" TargetMode="External"/><Relationship Id="rId196" Type="http://schemas.openxmlformats.org/officeDocument/2006/relationships/hyperlink" Target="https://www.steamdt.com/en/mkt?search=Sticker%20%7C%20Vitality%20%28Holo%29%20%7C%20Stockholm%202021" TargetMode="External"/><Relationship Id="rId197" Type="http://schemas.openxmlformats.org/officeDocument/2006/relationships/hyperlink" Target="https://lis-skins.com/ru/market/csgo/five-seven-retrobution-minimal-wear/" TargetMode="External"/><Relationship Id="rId198" Type="http://schemas.openxmlformats.org/officeDocument/2006/relationships/hyperlink" Target="https://www.steamdt.com/en/mkt?search=Five-SeveN%20%7C%20Retrobution%20%28Minimal%20Wear%29" TargetMode="External"/><Relationship Id="rId199" Type="http://schemas.openxmlformats.org/officeDocument/2006/relationships/hyperlink" Target="https://lis-skins.com/ru/market/csgo/ak-47-crossfade-minimal-wear/" TargetMode="External"/><Relationship Id="rId200" Type="http://schemas.openxmlformats.org/officeDocument/2006/relationships/hyperlink" Target="https://www.steamdt.com/en/mkt?search=AK-47%20%7C%20Crossfade%20%28Minimal%20Wear%29" TargetMode="External"/><Relationship Id="rId201" Type="http://schemas.openxmlformats.org/officeDocument/2006/relationships/hyperlink" Target="https://lis-skins.com/ru/market/csgo/p2000-amber-fade-factory-new/" TargetMode="External"/><Relationship Id="rId202" Type="http://schemas.openxmlformats.org/officeDocument/2006/relationships/hyperlink" Target="https://www.steamdt.com/en/mkt?search=P2000%20%7C%20Amber%20Fade%20%28Factory%20New%29" TargetMode="External"/><Relationship Id="rId203" Type="http://schemas.openxmlformats.org/officeDocument/2006/relationships/hyperlink" Target="https://lis-skins.com/ru/market/csgo/sticker-natus-vincere-holo-stockholm-2021/" TargetMode="External"/><Relationship Id="rId204" Type="http://schemas.openxmlformats.org/officeDocument/2006/relationships/hyperlink" Target="https://www.steamdt.com/en/mkt?search=Sticker%20%7C%20Natus%20Vincere%20%28Holo%29%20%7C%20Stockholm%202021" TargetMode="External"/><Relationship Id="rId205" Type="http://schemas.openxmlformats.org/officeDocument/2006/relationships/hyperlink" Target="https://lis-skins.com/ru/market/csgo/cz75-auto-tuxedo-factory-new/" TargetMode="External"/><Relationship Id="rId206" Type="http://schemas.openxmlformats.org/officeDocument/2006/relationships/hyperlink" Target="https://www.steamdt.com/en/mkt?search=CZ75-Auto%20%7C%20Tuxedo%20%28Factory%20New%29" TargetMode="External"/><Relationship Id="rId207" Type="http://schemas.openxmlformats.org/officeDocument/2006/relationships/hyperlink" Target="https://lis-skins.com/ru/market/csgo/dual-berettas-hydro-strike-minimal-wear/" TargetMode="External"/><Relationship Id="rId208" Type="http://schemas.openxmlformats.org/officeDocument/2006/relationships/hyperlink" Target="https://www.steamdt.com/en/mkt?search=Dual%20Berettas%20%7C%20Hydro%20Strike%20%28Minimal%20Wear%29" TargetMode="External"/><Relationship Id="rId209" Type="http://schemas.openxmlformats.org/officeDocument/2006/relationships/hyperlink" Target="https://lis-skins.com/ru/market/csgo/ssg-08-ghost-crusader-minimal-wear/" TargetMode="External"/><Relationship Id="rId210" Type="http://schemas.openxmlformats.org/officeDocument/2006/relationships/hyperlink" Target="https://www.steamdt.com/en/mkt?search=SSG%2008%20%7C%20Ghost%20Crusader%20%28Minimal%20Wear%29" TargetMode="External"/><Relationship Id="rId211" Type="http://schemas.openxmlformats.org/officeDocument/2006/relationships/hyperlink" Target="https://lis-skins.com/ru/market/csgo/sticker-forze-esports-holo-antwerp-2022/" TargetMode="External"/><Relationship Id="rId212" Type="http://schemas.openxmlformats.org/officeDocument/2006/relationships/hyperlink" Target="https://www.steamdt.com/en/mkt?search=Sticker%20%7C%20forZe%20eSports%20%28Holo%29%20%7C%20Antwerp%202022" TargetMode="External"/><Relationship Id="rId213" Type="http://schemas.openxmlformats.org/officeDocument/2006/relationships/hyperlink" Target="https://lis-skins.com/ru/market/csgo/sticker-broken-fang-holo/" TargetMode="External"/><Relationship Id="rId214" Type="http://schemas.openxmlformats.org/officeDocument/2006/relationships/hyperlink" Target="https://www.steamdt.com/en/mkt?search=Sticker%20%7C%20Broken%20Fang%20%28Holo%29" TargetMode="External"/><Relationship Id="rId215" Type="http://schemas.openxmlformats.org/officeDocument/2006/relationships/hyperlink" Target="https://lis-skins.com/ru/market/csgo/sticker-big-holo-antwerp-2022/" TargetMode="External"/><Relationship Id="rId216" Type="http://schemas.openxmlformats.org/officeDocument/2006/relationships/hyperlink" Target="https://www.steamdt.com/en/mkt?search=Sticker%20%7C%20BIG%20%28Holo%29%20%7C%20Antwerp%202022" TargetMode="External"/><Relationship Id="rId217" Type="http://schemas.openxmlformats.org/officeDocument/2006/relationships/hyperlink" Target="https://lis-skins.com/ru/market/csgo/sticker-ancient-beast-foil/" TargetMode="External"/><Relationship Id="rId218" Type="http://schemas.openxmlformats.org/officeDocument/2006/relationships/hyperlink" Target="https://www.steamdt.com/en/mkt?search=Sticker%20%7C%20Ancient%20Beast%20%28Foil%29" TargetMode="External"/><Relationship Id="rId219" Type="http://schemas.openxmlformats.org/officeDocument/2006/relationships/hyperlink" Target="https://lis-skins.com/ru/market/csgo/sticker-coiled-strike-holo/" TargetMode="External"/><Relationship Id="rId220" Type="http://schemas.openxmlformats.org/officeDocument/2006/relationships/hyperlink" Target="https://www.steamdt.com/en/mkt?search=Sticker%20%7C%20Coiled%20Strike%20%28Holo%29" TargetMode="External"/><Relationship Id="rId221" Type="http://schemas.openxmlformats.org/officeDocument/2006/relationships/hyperlink" Target="https://lis-skins.com/ru/market/csgo/sticker-mastermind-holo/" TargetMode="External"/><Relationship Id="rId222" Type="http://schemas.openxmlformats.org/officeDocument/2006/relationships/hyperlink" Target="https://www.steamdt.com/en/mkt?search=Sticker%20%7C%20Mastermind%20%28Holo%29" TargetMode="External"/><Relationship Id="rId223" Type="http://schemas.openxmlformats.org/officeDocument/2006/relationships/hyperlink" Target="https://lis-skins.com/ru/market/csgo/famas-teardown-factory-new/" TargetMode="External"/><Relationship Id="rId224" Type="http://schemas.openxmlformats.org/officeDocument/2006/relationships/hyperlink" Target="https://www.steamdt.com/en/mkt?search=FAMAS%20%7C%20Teardown%20%28Factory%20New%29" TargetMode="External"/><Relationship Id="rId225" Type="http://schemas.openxmlformats.org/officeDocument/2006/relationships/hyperlink" Target="https://lis-skins.com/ru/market/csgo/sticker-enemy-spotted-holo/" TargetMode="External"/><Relationship Id="rId226" Type="http://schemas.openxmlformats.org/officeDocument/2006/relationships/hyperlink" Target="https://www.steamdt.com/en/mkt?search=Sticker%20%7C%20Enemy%20Spotted%20%28Holo%29" TargetMode="External"/><Relationship Id="rId227" Type="http://schemas.openxmlformats.org/officeDocument/2006/relationships/hyperlink" Target="https://lis-skins.com/ru/market/csgo/sticker-web-stuck-holo/" TargetMode="External"/><Relationship Id="rId228" Type="http://schemas.openxmlformats.org/officeDocument/2006/relationships/hyperlink" Target="https://www.steamdt.com/en/mkt?search=Sticker%20%7C%20Web%20Stuck%20%28Holo%29" TargetMode="External"/><Relationship Id="rId229" Type="http://schemas.openxmlformats.org/officeDocument/2006/relationships/hyperlink" Target="https://lis-skins.com/ru/market/csgo/glock-18-teal-graf-factory-new/" TargetMode="External"/><Relationship Id="rId230" Type="http://schemas.openxmlformats.org/officeDocument/2006/relationships/hyperlink" Target="https://www.steamdt.com/en/mkt?search=Glock-18%20%7C%20Teal%20Graf%20%28Factory%20New%29" TargetMode="External"/><Relationship Id="rId231" Type="http://schemas.openxmlformats.org/officeDocument/2006/relationships/hyperlink" Target="https://lis-skins.com/ru/market/csgo/dual-berettas-cobalt-quartz-factory-new/" TargetMode="External"/><Relationship Id="rId232" Type="http://schemas.openxmlformats.org/officeDocument/2006/relationships/hyperlink" Target="https://www.steamdt.com/en/mkt?search=Dual%20Berettas%20%7C%20Cobalt%20Quartz%20%28Factory%20New%29" TargetMode="External"/><Relationship Id="rId233" Type="http://schemas.openxmlformats.org/officeDocument/2006/relationships/hyperlink" Target="https://lis-skins.com/ru/market/csgo/galil-ar-nv-factory-new/" TargetMode="External"/><Relationship Id="rId234" Type="http://schemas.openxmlformats.org/officeDocument/2006/relationships/hyperlink" Target="https://www.steamdt.com/en/mkt?search=Galil%20AR%20%7C%20NV%20%28Factory%20New%29" TargetMode="External"/><Relationship Id="rId235" Type="http://schemas.openxmlformats.org/officeDocument/2006/relationships/hyperlink" Target="https://lis-skins.com/ru/market/csgo/nova-windblown-factory-new/" TargetMode="External"/><Relationship Id="rId236" Type="http://schemas.openxmlformats.org/officeDocument/2006/relationships/hyperlink" Target="https://www.steamdt.com/en/mkt?search=Nova%20%7C%20Windblown%20%28Factory%20New%29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18"/>
    <col collapsed="false" customWidth="true" hidden="false" outlineLevel="0" max="5" min="4" style="0" width="16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2" min="11" style="0" width="1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3" t="s">
        <v>3</v>
      </c>
      <c r="B4" s="4" t="n">
        <v>81.48</v>
      </c>
      <c r="C4" s="5" t="s">
        <v>4</v>
      </c>
    </row>
    <row r="5" customFormat="false" ht="15" hidden="false" customHeight="false" outlineLevel="0" collapsed="false">
      <c r="A5" s="3" t="s">
        <v>5</v>
      </c>
      <c r="B5" s="6" t="n">
        <v>11.4548</v>
      </c>
      <c r="C5" s="5" t="s">
        <v>6</v>
      </c>
    </row>
    <row r="6" customFormat="false" ht="15" hidden="false" customHeight="false" outlineLevel="0" collapsed="false">
      <c r="A6" s="3" t="s">
        <v>7</v>
      </c>
      <c r="B6" s="7" t="s">
        <v>8</v>
      </c>
    </row>
    <row r="8" customFormat="false" ht="30" hidden="false" customHeight="true" outlineLevel="0" collapsed="false">
      <c r="A8" s="8" t="s">
        <v>9</v>
      </c>
      <c r="B8" s="8" t="s">
        <v>10</v>
      </c>
      <c r="C8" s="8" t="s">
        <v>11</v>
      </c>
      <c r="D8" s="8" t="s">
        <v>12</v>
      </c>
      <c r="E8" s="8" t="s">
        <v>13</v>
      </c>
      <c r="F8" s="8" t="s">
        <v>14</v>
      </c>
      <c r="G8" s="8" t="s">
        <v>15</v>
      </c>
      <c r="H8" s="8" t="s">
        <v>16</v>
      </c>
      <c r="I8" s="8" t="s">
        <v>17</v>
      </c>
      <c r="J8" s="8" t="s">
        <v>18</v>
      </c>
      <c r="K8" s="8" t="s">
        <v>19</v>
      </c>
      <c r="L8" s="8" t="s">
        <v>20</v>
      </c>
    </row>
    <row r="9" customFormat="false" ht="15" hidden="false" customHeight="false" outlineLevel="0" collapsed="false">
      <c r="A9" s="9" t="n">
        <v>1</v>
      </c>
      <c r="B9" s="9" t="s">
        <v>21</v>
      </c>
      <c r="C9" s="9" t="n">
        <v>146</v>
      </c>
      <c r="D9" s="10" t="n">
        <v>94.1</v>
      </c>
      <c r="E9" s="11" t="n">
        <f aca="false">D9*$B$4</f>
        <v>7667.268</v>
      </c>
      <c r="F9" s="12" t="n">
        <v>923.09</v>
      </c>
      <c r="G9" s="11" t="n">
        <f aca="false">F9*$B$5</f>
        <v>10573.811332</v>
      </c>
      <c r="H9" s="13" t="n">
        <f aca="false">G9-E9</f>
        <v>2906.543332</v>
      </c>
      <c r="I9" s="14" t="n">
        <f aca="false">IF(E9=0,"",(G9-E9)/E9)</f>
        <v>0.379084614232866</v>
      </c>
      <c r="J9" s="15" t="str">
        <f aca="false">IF(E9=0,"",IF(G9&gt;E9,"Да","Нет"))</f>
        <v>Да</v>
      </c>
      <c r="K9" s="16" t="s">
        <v>22</v>
      </c>
      <c r="L9" s="16" t="s">
        <v>22</v>
      </c>
    </row>
    <row r="10" customFormat="false" ht="15" hidden="false" customHeight="false" outlineLevel="0" collapsed="false">
      <c r="A10" s="9" t="n">
        <v>2</v>
      </c>
      <c r="B10" s="9" t="s">
        <v>23</v>
      </c>
      <c r="C10" s="9" t="n">
        <v>222</v>
      </c>
      <c r="D10" s="10" t="n">
        <v>86.66</v>
      </c>
      <c r="E10" s="11" t="n">
        <f aca="false">D10*$B$4</f>
        <v>7061.0568</v>
      </c>
      <c r="F10" s="12" t="n">
        <v>793.91</v>
      </c>
      <c r="G10" s="11" t="n">
        <f aca="false">F10*$B$5</f>
        <v>9094.080268</v>
      </c>
      <c r="H10" s="13" t="n">
        <f aca="false">G10-E10</f>
        <v>2033.023468</v>
      </c>
      <c r="I10" s="14" t="n">
        <f aca="false">IF(E10=0,"",(G10-E10)/E10)</f>
        <v>0.287920565658104</v>
      </c>
      <c r="J10" s="15" t="str">
        <f aca="false">IF(E10=0,"",IF(G10&gt;E10,"Да","Нет"))</f>
        <v>Да</v>
      </c>
      <c r="K10" s="16" t="s">
        <v>22</v>
      </c>
      <c r="L10" s="16" t="s">
        <v>22</v>
      </c>
    </row>
    <row r="11" customFormat="false" ht="15" hidden="false" customHeight="false" outlineLevel="0" collapsed="false">
      <c r="A11" s="9" t="n">
        <v>3</v>
      </c>
      <c r="B11" s="9" t="s">
        <v>24</v>
      </c>
      <c r="C11" s="9" t="n">
        <v>61</v>
      </c>
      <c r="D11" s="10" t="n">
        <v>84.41</v>
      </c>
      <c r="E11" s="11" t="n">
        <f aca="false">D11*$B$4</f>
        <v>6877.7268</v>
      </c>
      <c r="F11" s="12" t="n">
        <v>785.99</v>
      </c>
      <c r="G11" s="11" t="n">
        <f aca="false">F11*$B$5</f>
        <v>9003.358252</v>
      </c>
      <c r="H11" s="13" t="n">
        <f aca="false">G11-E11</f>
        <v>2125.631452</v>
      </c>
      <c r="I11" s="14" t="n">
        <f aca="false">IF(E11=0,"",(G11-E11)/E11)</f>
        <v>0.309060175521947</v>
      </c>
      <c r="J11" s="15" t="str">
        <f aca="false">IF(E11=0,"",IF(G11&gt;E11,"Да","Нет"))</f>
        <v>Да</v>
      </c>
      <c r="K11" s="16" t="s">
        <v>22</v>
      </c>
      <c r="L11" s="16" t="s">
        <v>22</v>
      </c>
    </row>
    <row r="12" customFormat="false" ht="15" hidden="false" customHeight="false" outlineLevel="0" collapsed="false">
      <c r="A12" s="9" t="n">
        <v>4</v>
      </c>
      <c r="B12" s="9" t="s">
        <v>25</v>
      </c>
      <c r="C12" s="9" t="n">
        <v>266</v>
      </c>
      <c r="D12" s="10" t="n">
        <v>81.27</v>
      </c>
      <c r="E12" s="11" t="n">
        <f aca="false">D12*$B$4</f>
        <v>6621.8796</v>
      </c>
      <c r="F12" s="12" t="n">
        <v>739.3</v>
      </c>
      <c r="G12" s="11" t="n">
        <f aca="false">F12*$B$5</f>
        <v>8468.53364</v>
      </c>
      <c r="H12" s="13" t="n">
        <f aca="false">G12-E12</f>
        <v>1846.65404</v>
      </c>
      <c r="I12" s="14" t="n">
        <f aca="false">IF(E12=0,"",(G12-E12)/E12)</f>
        <v>0.278871582020307</v>
      </c>
      <c r="J12" s="15" t="str">
        <f aca="false">IF(E12=0,"",IF(G12&gt;E12,"Да","Нет"))</f>
        <v>Да</v>
      </c>
      <c r="K12" s="16" t="s">
        <v>22</v>
      </c>
      <c r="L12" s="16" t="s">
        <v>22</v>
      </c>
    </row>
    <row r="13" customFormat="false" ht="15" hidden="false" customHeight="false" outlineLevel="0" collapsed="false">
      <c r="A13" s="9" t="n">
        <v>5</v>
      </c>
      <c r="B13" s="9" t="s">
        <v>26</v>
      </c>
      <c r="C13" s="9" t="n">
        <v>147</v>
      </c>
      <c r="D13" s="10" t="n">
        <v>60.19</v>
      </c>
      <c r="E13" s="11" t="n">
        <f aca="false">D13*$B$4</f>
        <v>4904.2812</v>
      </c>
      <c r="F13" s="12" t="n">
        <v>573.97</v>
      </c>
      <c r="G13" s="11" t="n">
        <f aca="false">F13*$B$5</f>
        <v>6574.711556</v>
      </c>
      <c r="H13" s="13" t="n">
        <f aca="false">G13-E13</f>
        <v>1670.430356</v>
      </c>
      <c r="I13" s="14" t="n">
        <f aca="false">IF(E13=0,"",(G13-E13)/E13)</f>
        <v>0.340606561467152</v>
      </c>
      <c r="J13" s="15" t="str">
        <f aca="false">IF(E13=0,"",IF(G13&gt;E13,"Да","Нет"))</f>
        <v>Да</v>
      </c>
      <c r="K13" s="16" t="s">
        <v>22</v>
      </c>
      <c r="L13" s="16" t="s">
        <v>22</v>
      </c>
    </row>
    <row r="14" customFormat="false" ht="15" hidden="false" customHeight="false" outlineLevel="0" collapsed="false">
      <c r="A14" s="9" t="n">
        <v>6</v>
      </c>
      <c r="B14" s="9" t="s">
        <v>27</v>
      </c>
      <c r="C14" s="9" t="n">
        <v>166</v>
      </c>
      <c r="D14" s="10" t="n">
        <v>58.87</v>
      </c>
      <c r="E14" s="11" t="n">
        <f aca="false">D14*$B$4</f>
        <v>4796.7276</v>
      </c>
      <c r="F14" s="12" t="n">
        <v>563.52</v>
      </c>
      <c r="G14" s="11" t="n">
        <f aca="false">F14*$B$5</f>
        <v>6455.008896</v>
      </c>
      <c r="H14" s="13" t="n">
        <f aca="false">G14-E14</f>
        <v>1658.281296</v>
      </c>
      <c r="I14" s="14" t="n">
        <f aca="false">IF(E14=0,"",(G14-E14)/E14)</f>
        <v>0.345710958445921</v>
      </c>
      <c r="J14" s="15" t="str">
        <f aca="false">IF(E14=0,"",IF(G14&gt;E14,"Да","Нет"))</f>
        <v>Да</v>
      </c>
      <c r="K14" s="16" t="s">
        <v>22</v>
      </c>
      <c r="L14" s="16" t="s">
        <v>22</v>
      </c>
    </row>
    <row r="15" customFormat="false" ht="15" hidden="false" customHeight="false" outlineLevel="0" collapsed="false">
      <c r="A15" s="9" t="n">
        <v>7</v>
      </c>
      <c r="B15" s="9" t="s">
        <v>28</v>
      </c>
      <c r="C15" s="9" t="n">
        <v>293</v>
      </c>
      <c r="D15" s="10" t="n">
        <v>57.66</v>
      </c>
      <c r="E15" s="11" t="n">
        <f aca="false">D15*$B$4</f>
        <v>4698.1368</v>
      </c>
      <c r="F15" s="12" t="n">
        <v>540</v>
      </c>
      <c r="G15" s="11" t="n">
        <f aca="false">F15*$B$5</f>
        <v>6185.592</v>
      </c>
      <c r="H15" s="13" t="n">
        <f aca="false">G15-E15</f>
        <v>1487.4552</v>
      </c>
      <c r="I15" s="14" t="n">
        <f aca="false">IF(E15=0,"",(G15-E15)/E15)</f>
        <v>0.316605340227641</v>
      </c>
      <c r="J15" s="15" t="str">
        <f aca="false">IF(E15=0,"",IF(G15&gt;E15,"Да","Нет"))</f>
        <v>Да</v>
      </c>
      <c r="K15" s="16" t="s">
        <v>22</v>
      </c>
      <c r="L15" s="16" t="s">
        <v>22</v>
      </c>
    </row>
    <row r="16" customFormat="false" ht="15" hidden="false" customHeight="false" outlineLevel="0" collapsed="false">
      <c r="A16" s="9" t="n">
        <v>8</v>
      </c>
      <c r="B16" s="9" t="s">
        <v>29</v>
      </c>
      <c r="C16" s="9" t="n">
        <v>237</v>
      </c>
      <c r="D16" s="10" t="n">
        <v>56.4</v>
      </c>
      <c r="E16" s="11" t="n">
        <f aca="false">D16*$B$4</f>
        <v>4595.472</v>
      </c>
      <c r="F16" s="12" t="n">
        <v>560.78</v>
      </c>
      <c r="G16" s="11" t="n">
        <f aca="false">F16*$B$5</f>
        <v>6423.622744</v>
      </c>
      <c r="H16" s="13" t="n">
        <f aca="false">G16-E16</f>
        <v>1828.150744</v>
      </c>
      <c r="I16" s="14" t="n">
        <f aca="false">IF(E16=0,"",(G16-E16)/E16)</f>
        <v>0.397815663766421</v>
      </c>
      <c r="J16" s="15" t="str">
        <f aca="false">IF(E16=0,"",IF(G16&gt;E16,"Да","Нет"))</f>
        <v>Да</v>
      </c>
      <c r="K16" s="16" t="s">
        <v>22</v>
      </c>
      <c r="L16" s="16" t="s">
        <v>22</v>
      </c>
    </row>
    <row r="17" customFormat="false" ht="15" hidden="false" customHeight="false" outlineLevel="0" collapsed="false">
      <c r="A17" s="9" t="n">
        <v>9</v>
      </c>
      <c r="B17" s="9" t="s">
        <v>30</v>
      </c>
      <c r="C17" s="9" t="n">
        <v>253</v>
      </c>
      <c r="D17" s="10" t="n">
        <v>54.75</v>
      </c>
      <c r="E17" s="11" t="n">
        <f aca="false">D17*$B$4</f>
        <v>4461.03</v>
      </c>
      <c r="F17" s="12" t="n">
        <v>527.02</v>
      </c>
      <c r="G17" s="11" t="n">
        <f aca="false">F17*$B$5</f>
        <v>6036.908696</v>
      </c>
      <c r="H17" s="13" t="n">
        <f aca="false">G17-E17</f>
        <v>1575.878696</v>
      </c>
      <c r="I17" s="14" t="n">
        <f aca="false">IF(E17=0,"",(G17-E17)/E17)</f>
        <v>0.353254449308792</v>
      </c>
      <c r="J17" s="15" t="str">
        <f aca="false">IF(E17=0,"",IF(G17&gt;E17,"Да","Нет"))</f>
        <v>Да</v>
      </c>
      <c r="K17" s="16" t="s">
        <v>22</v>
      </c>
      <c r="L17" s="16" t="s">
        <v>22</v>
      </c>
    </row>
    <row r="18" customFormat="false" ht="15" hidden="false" customHeight="false" outlineLevel="0" collapsed="false">
      <c r="A18" s="9" t="n">
        <v>10</v>
      </c>
      <c r="B18" s="9" t="s">
        <v>31</v>
      </c>
      <c r="C18" s="9" t="n">
        <v>82</v>
      </c>
      <c r="D18" s="10" t="n">
        <v>52.04</v>
      </c>
      <c r="E18" s="11" t="n">
        <f aca="false">D18*$B$4</f>
        <v>4240.2192</v>
      </c>
      <c r="F18" s="12" t="n">
        <v>513.21</v>
      </c>
      <c r="G18" s="11" t="n">
        <f aca="false">F18*$B$5</f>
        <v>5878.717908</v>
      </c>
      <c r="H18" s="13" t="n">
        <f aca="false">G18-E18</f>
        <v>1638.498708</v>
      </c>
      <c r="I18" s="14" t="n">
        <f aca="false">IF(E18=0,"",(G18-E18)/E18)</f>
        <v>0.386418397426246</v>
      </c>
      <c r="J18" s="15" t="str">
        <f aca="false">IF(E18=0,"",IF(G18&gt;E18,"Да","Нет"))</f>
        <v>Да</v>
      </c>
      <c r="K18" s="16" t="s">
        <v>22</v>
      </c>
      <c r="L18" s="16" t="s">
        <v>22</v>
      </c>
    </row>
    <row r="19" customFormat="false" ht="15" hidden="false" customHeight="false" outlineLevel="0" collapsed="false">
      <c r="A19" s="9" t="n">
        <v>11</v>
      </c>
      <c r="B19" s="9" t="s">
        <v>32</v>
      </c>
      <c r="C19" s="9" t="n">
        <v>102</v>
      </c>
      <c r="D19" s="10" t="n">
        <v>48.6</v>
      </c>
      <c r="E19" s="11" t="n">
        <f aca="false">D19*$B$4</f>
        <v>3959.928</v>
      </c>
      <c r="F19" s="12" t="n">
        <v>471.38</v>
      </c>
      <c r="G19" s="11" t="n">
        <f aca="false">F19*$B$5</f>
        <v>5399.563624</v>
      </c>
      <c r="H19" s="13" t="n">
        <f aca="false">G19-E19</f>
        <v>1439.635624</v>
      </c>
      <c r="I19" s="14" t="n">
        <f aca="false">IF(E19=0,"",(G19-E19)/E19)</f>
        <v>0.363550959512395</v>
      </c>
      <c r="J19" s="15" t="str">
        <f aca="false">IF(E19=0,"",IF(G19&gt;E19,"Да","Нет"))</f>
        <v>Да</v>
      </c>
      <c r="K19" s="16" t="s">
        <v>22</v>
      </c>
      <c r="L19" s="16" t="s">
        <v>22</v>
      </c>
    </row>
    <row r="20" customFormat="false" ht="15" hidden="false" customHeight="false" outlineLevel="0" collapsed="false">
      <c r="A20" s="9" t="n">
        <v>12</v>
      </c>
      <c r="B20" s="9" t="s">
        <v>33</v>
      </c>
      <c r="C20" s="9" t="n">
        <v>185</v>
      </c>
      <c r="D20" s="10" t="n">
        <v>48.15</v>
      </c>
      <c r="E20" s="11" t="n">
        <f aca="false">D20*$B$4</f>
        <v>3923.262</v>
      </c>
      <c r="F20" s="12" t="n">
        <v>471.59</v>
      </c>
      <c r="G20" s="11" t="n">
        <f aca="false">F20*$B$5</f>
        <v>5401.969132</v>
      </c>
      <c r="H20" s="13" t="n">
        <f aca="false">G20-E20</f>
        <v>1478.707132</v>
      </c>
      <c r="I20" s="14" t="n">
        <f aca="false">IF(E20=0,"",(G20-E20)/E20)</f>
        <v>0.376907566203838</v>
      </c>
      <c r="J20" s="15" t="str">
        <f aca="false">IF(E20=0,"",IF(G20&gt;E20,"Да","Нет"))</f>
        <v>Да</v>
      </c>
      <c r="K20" s="16" t="s">
        <v>22</v>
      </c>
      <c r="L20" s="16" t="s">
        <v>22</v>
      </c>
    </row>
    <row r="21" customFormat="false" ht="15" hidden="false" customHeight="false" outlineLevel="0" collapsed="false">
      <c r="A21" s="9" t="n">
        <v>13</v>
      </c>
      <c r="B21" s="9" t="s">
        <v>34</v>
      </c>
      <c r="C21" s="9" t="n">
        <v>61</v>
      </c>
      <c r="D21" s="10" t="n">
        <v>47.28</v>
      </c>
      <c r="E21" s="11" t="n">
        <f aca="false">D21*$B$4</f>
        <v>3852.3744</v>
      </c>
      <c r="F21" s="12" t="n">
        <v>551.42</v>
      </c>
      <c r="G21" s="11" t="n">
        <f aca="false">F21*$B$5</f>
        <v>6316.405816</v>
      </c>
      <c r="H21" s="13" t="n">
        <f aca="false">G21-E21</f>
        <v>2464.031416</v>
      </c>
      <c r="I21" s="14" t="n">
        <f aca="false">IF(E21=0,"",(G21-E21)/E21)</f>
        <v>0.639613692791645</v>
      </c>
      <c r="J21" s="15" t="str">
        <f aca="false">IF(E21=0,"",IF(G21&gt;E21,"Да","Нет"))</f>
        <v>Да</v>
      </c>
      <c r="K21" s="16" t="s">
        <v>22</v>
      </c>
      <c r="L21" s="16" t="s">
        <v>22</v>
      </c>
    </row>
    <row r="22" customFormat="false" ht="15" hidden="false" customHeight="false" outlineLevel="0" collapsed="false">
      <c r="A22" s="9" t="n">
        <v>14</v>
      </c>
      <c r="B22" s="9" t="s">
        <v>35</v>
      </c>
      <c r="C22" s="9" t="n">
        <v>66</v>
      </c>
      <c r="D22" s="10" t="n">
        <v>38.3</v>
      </c>
      <c r="E22" s="11" t="n">
        <f aca="false">D22*$B$4</f>
        <v>3120.684</v>
      </c>
      <c r="F22" s="12" t="n">
        <v>359.71</v>
      </c>
      <c r="G22" s="11" t="n">
        <f aca="false">F22*$B$5</f>
        <v>4120.406108</v>
      </c>
      <c r="H22" s="13" t="n">
        <f aca="false">G22-E22</f>
        <v>999.722108</v>
      </c>
      <c r="I22" s="14" t="n">
        <f aca="false">IF(E22=0,"",(G22-E22)/E22)</f>
        <v>0.320353521215221</v>
      </c>
      <c r="J22" s="15" t="str">
        <f aca="false">IF(E22=0,"",IF(G22&gt;E22,"Да","Нет"))</f>
        <v>Да</v>
      </c>
      <c r="K22" s="16" t="s">
        <v>22</v>
      </c>
      <c r="L22" s="16" t="s">
        <v>22</v>
      </c>
    </row>
    <row r="23" customFormat="false" ht="15" hidden="false" customHeight="false" outlineLevel="0" collapsed="false">
      <c r="A23" s="9" t="n">
        <v>15</v>
      </c>
      <c r="B23" s="9" t="s">
        <v>36</v>
      </c>
      <c r="C23" s="9" t="n">
        <v>110</v>
      </c>
      <c r="D23" s="10" t="n">
        <v>37.68</v>
      </c>
      <c r="E23" s="11" t="n">
        <f aca="false">D23*$B$4</f>
        <v>3070.1664</v>
      </c>
      <c r="F23" s="12" t="n">
        <v>389.85</v>
      </c>
      <c r="G23" s="11" t="n">
        <f aca="false">F23*$B$5</f>
        <v>4465.65378</v>
      </c>
      <c r="H23" s="13" t="n">
        <f aca="false">G23-E23</f>
        <v>1395.48738</v>
      </c>
      <c r="I23" s="14" t="n">
        <f aca="false">IF(E23=0,"",(G23-E23)/E23)</f>
        <v>0.454531513340775</v>
      </c>
      <c r="J23" s="15" t="str">
        <f aca="false">IF(E23=0,"",IF(G23&gt;E23,"Да","Нет"))</f>
        <v>Да</v>
      </c>
      <c r="K23" s="16" t="s">
        <v>22</v>
      </c>
      <c r="L23" s="16" t="s">
        <v>22</v>
      </c>
    </row>
    <row r="24" customFormat="false" ht="15" hidden="false" customHeight="false" outlineLevel="0" collapsed="false">
      <c r="A24" s="9" t="n">
        <v>16</v>
      </c>
      <c r="B24" s="9" t="s">
        <v>37</v>
      </c>
      <c r="C24" s="9" t="n">
        <v>86</v>
      </c>
      <c r="D24" s="10" t="n">
        <v>35.45</v>
      </c>
      <c r="E24" s="11" t="n">
        <f aca="false">D24*$B$4</f>
        <v>2888.466</v>
      </c>
      <c r="F24" s="12" t="n">
        <v>382.74</v>
      </c>
      <c r="G24" s="11" t="n">
        <f aca="false">F24*$B$5</f>
        <v>4384.210152</v>
      </c>
      <c r="H24" s="13" t="n">
        <f aca="false">G24-E24</f>
        <v>1495.744152</v>
      </c>
      <c r="I24" s="14" t="n">
        <f aca="false">IF(E24=0,"",(G24-E24)/E24)</f>
        <v>0.517833393919125</v>
      </c>
      <c r="J24" s="15" t="str">
        <f aca="false">IF(E24=0,"",IF(G24&gt;E24,"Да","Нет"))</f>
        <v>Да</v>
      </c>
      <c r="K24" s="16" t="s">
        <v>22</v>
      </c>
      <c r="L24" s="16" t="s">
        <v>22</v>
      </c>
    </row>
    <row r="25" customFormat="false" ht="15" hidden="false" customHeight="false" outlineLevel="0" collapsed="false">
      <c r="A25" s="9" t="n">
        <v>17</v>
      </c>
      <c r="B25" s="9" t="s">
        <v>38</v>
      </c>
      <c r="C25" s="9" t="n">
        <v>262</v>
      </c>
      <c r="D25" s="10" t="n">
        <v>33.12</v>
      </c>
      <c r="E25" s="11" t="n">
        <f aca="false">D25*$B$4</f>
        <v>2698.6176</v>
      </c>
      <c r="F25" s="12" t="n">
        <v>313.09</v>
      </c>
      <c r="G25" s="11" t="n">
        <f aca="false">F25*$B$5</f>
        <v>3586.383332</v>
      </c>
      <c r="H25" s="13" t="n">
        <f aca="false">G25-E25</f>
        <v>887.765732</v>
      </c>
      <c r="I25" s="14" t="n">
        <f aca="false">IF(E25=0,"",(G25-E25)/E25)</f>
        <v>0.328970555887577</v>
      </c>
      <c r="J25" s="15" t="str">
        <f aca="false">IF(E25=0,"",IF(G25&gt;E25,"Да","Нет"))</f>
        <v>Да</v>
      </c>
      <c r="K25" s="16" t="s">
        <v>22</v>
      </c>
      <c r="L25" s="16" t="s">
        <v>22</v>
      </c>
    </row>
    <row r="26" customFormat="false" ht="15" hidden="false" customHeight="false" outlineLevel="0" collapsed="false">
      <c r="A26" s="9" t="n">
        <v>18</v>
      </c>
      <c r="B26" s="9" t="s">
        <v>39</v>
      </c>
      <c r="C26" s="9" t="n">
        <v>134</v>
      </c>
      <c r="D26" s="10" t="n">
        <v>32.37</v>
      </c>
      <c r="E26" s="11" t="n">
        <f aca="false">D26*$B$4</f>
        <v>2637.5076</v>
      </c>
      <c r="F26" s="12" t="n">
        <v>306.74</v>
      </c>
      <c r="G26" s="11" t="n">
        <f aca="false">F26*$B$5</f>
        <v>3513.645352</v>
      </c>
      <c r="H26" s="13" t="n">
        <f aca="false">G26-E26</f>
        <v>876.137752000001</v>
      </c>
      <c r="I26" s="14" t="n">
        <f aca="false">IF(E26=0,"",(G26-E26)/E26)</f>
        <v>0.33218397247462</v>
      </c>
      <c r="J26" s="15" t="str">
        <f aca="false">IF(E26=0,"",IF(G26&gt;E26,"Да","Нет"))</f>
        <v>Да</v>
      </c>
      <c r="K26" s="16" t="s">
        <v>22</v>
      </c>
      <c r="L26" s="16" t="s">
        <v>22</v>
      </c>
    </row>
    <row r="27" customFormat="false" ht="15" hidden="false" customHeight="false" outlineLevel="0" collapsed="false">
      <c r="A27" s="9" t="n">
        <v>19</v>
      </c>
      <c r="B27" s="9" t="s">
        <v>40</v>
      </c>
      <c r="C27" s="9" t="n">
        <v>214</v>
      </c>
      <c r="D27" s="10" t="n">
        <v>28.76</v>
      </c>
      <c r="E27" s="11" t="n">
        <f aca="false">D27*$B$4</f>
        <v>2343.3648</v>
      </c>
      <c r="F27" s="12" t="n">
        <v>273.18</v>
      </c>
      <c r="G27" s="11" t="n">
        <f aca="false">F27*$B$5</f>
        <v>3129.222264</v>
      </c>
      <c r="H27" s="13" t="n">
        <f aca="false">G27-E27</f>
        <v>785.857464</v>
      </c>
      <c r="I27" s="14" t="n">
        <f aca="false">IF(E27=0,"",(G27-E27)/E27)</f>
        <v>0.335354300790043</v>
      </c>
      <c r="J27" s="15" t="str">
        <f aca="false">IF(E27=0,"",IF(G27&gt;E27,"Да","Нет"))</f>
        <v>Да</v>
      </c>
      <c r="K27" s="16" t="s">
        <v>22</v>
      </c>
      <c r="L27" s="16" t="s">
        <v>22</v>
      </c>
    </row>
    <row r="28" customFormat="false" ht="15" hidden="false" customHeight="false" outlineLevel="0" collapsed="false">
      <c r="A28" s="9" t="n">
        <v>20</v>
      </c>
      <c r="B28" s="9" t="s">
        <v>41</v>
      </c>
      <c r="C28" s="9" t="n">
        <v>218</v>
      </c>
      <c r="D28" s="10" t="n">
        <v>25.86</v>
      </c>
      <c r="E28" s="11" t="n">
        <f aca="false">D28*$B$4</f>
        <v>2107.0728</v>
      </c>
      <c r="F28" s="12" t="n">
        <v>233.74</v>
      </c>
      <c r="G28" s="11" t="n">
        <f aca="false">F28*$B$5</f>
        <v>2677.444952</v>
      </c>
      <c r="H28" s="13" t="n">
        <f aca="false">G28-E28</f>
        <v>570.372152</v>
      </c>
      <c r="I28" s="14" t="n">
        <f aca="false">IF(E28=0,"",(G28-E28)/E28)</f>
        <v>0.270694088974999</v>
      </c>
      <c r="J28" s="15" t="str">
        <f aca="false">IF(E28=0,"",IF(G28&gt;E28,"Да","Нет"))</f>
        <v>Да</v>
      </c>
      <c r="K28" s="16" t="s">
        <v>22</v>
      </c>
      <c r="L28" s="16" t="s">
        <v>22</v>
      </c>
    </row>
    <row r="29" customFormat="false" ht="15" hidden="false" customHeight="false" outlineLevel="0" collapsed="false">
      <c r="A29" s="9" t="n">
        <v>21</v>
      </c>
      <c r="B29" s="9" t="s">
        <v>42</v>
      </c>
      <c r="C29" s="9" t="n">
        <v>148</v>
      </c>
      <c r="D29" s="10" t="n">
        <v>21.17</v>
      </c>
      <c r="E29" s="11" t="n">
        <f aca="false">D29*$B$4</f>
        <v>1724.9316</v>
      </c>
      <c r="F29" s="12" t="n">
        <v>209.82</v>
      </c>
      <c r="G29" s="11" t="n">
        <f aca="false">F29*$B$5</f>
        <v>2403.446136</v>
      </c>
      <c r="H29" s="13" t="n">
        <f aca="false">G29-E29</f>
        <v>678.514536</v>
      </c>
      <c r="I29" s="14" t="n">
        <f aca="false">IF(E29=0,"",(G29-E29)/E29)</f>
        <v>0.393357357474348</v>
      </c>
      <c r="J29" s="15" t="str">
        <f aca="false">IF(E29=0,"",IF(G29&gt;E29,"Да","Нет"))</f>
        <v>Да</v>
      </c>
      <c r="K29" s="16" t="s">
        <v>22</v>
      </c>
      <c r="L29" s="16" t="s">
        <v>22</v>
      </c>
    </row>
    <row r="30" customFormat="false" ht="15" hidden="false" customHeight="false" outlineLevel="0" collapsed="false">
      <c r="A30" s="9" t="n">
        <v>22</v>
      </c>
      <c r="B30" s="9" t="s">
        <v>43</v>
      </c>
      <c r="C30" s="9" t="n">
        <v>76</v>
      </c>
      <c r="D30" s="10" t="n">
        <v>20.05</v>
      </c>
      <c r="E30" s="11" t="n">
        <f aca="false">D30*$B$4</f>
        <v>1633.674</v>
      </c>
      <c r="F30" s="12" t="n">
        <v>204.97</v>
      </c>
      <c r="G30" s="11" t="n">
        <f aca="false">F30*$B$5</f>
        <v>2347.890356</v>
      </c>
      <c r="H30" s="13" t="n">
        <f aca="false">G30-E30</f>
        <v>714.216356</v>
      </c>
      <c r="I30" s="14" t="n">
        <f aca="false">IF(E30=0,"",(G30-E30)/E30)</f>
        <v>0.43718413588023</v>
      </c>
      <c r="J30" s="15" t="str">
        <f aca="false">IF(E30=0,"",IF(G30&gt;E30,"Да","Нет"))</f>
        <v>Да</v>
      </c>
      <c r="K30" s="16" t="s">
        <v>22</v>
      </c>
      <c r="L30" s="16" t="s">
        <v>22</v>
      </c>
    </row>
    <row r="31" customFormat="false" ht="15" hidden="false" customHeight="false" outlineLevel="0" collapsed="false">
      <c r="A31" s="9" t="n">
        <v>23</v>
      </c>
      <c r="B31" s="9" t="s">
        <v>44</v>
      </c>
      <c r="C31" s="9" t="n">
        <v>125</v>
      </c>
      <c r="D31" s="10" t="n">
        <v>19.65</v>
      </c>
      <c r="E31" s="11" t="n">
        <f aca="false">D31*$B$4</f>
        <v>1601.082</v>
      </c>
      <c r="F31" s="12" t="n">
        <v>189.59</v>
      </c>
      <c r="G31" s="11" t="n">
        <f aca="false">F31*$B$5</f>
        <v>2171.715532</v>
      </c>
      <c r="H31" s="13" t="n">
        <f aca="false">G31-E31</f>
        <v>570.633532</v>
      </c>
      <c r="I31" s="14" t="n">
        <f aca="false">IF(E31=0,"",(G31-E31)/E31)</f>
        <v>0.356404938660231</v>
      </c>
      <c r="J31" s="15" t="str">
        <f aca="false">IF(E31=0,"",IF(G31&gt;E31,"Да","Нет"))</f>
        <v>Да</v>
      </c>
      <c r="K31" s="16" t="s">
        <v>22</v>
      </c>
      <c r="L31" s="16" t="s">
        <v>22</v>
      </c>
    </row>
    <row r="32" customFormat="false" ht="15" hidden="false" customHeight="false" outlineLevel="0" collapsed="false">
      <c r="A32" s="9" t="n">
        <v>24</v>
      </c>
      <c r="B32" s="9" t="s">
        <v>45</v>
      </c>
      <c r="C32" s="9" t="n">
        <v>164</v>
      </c>
      <c r="D32" s="10" t="n">
        <v>19.48</v>
      </c>
      <c r="E32" s="11" t="n">
        <f aca="false">D32*$B$4</f>
        <v>1587.2304</v>
      </c>
      <c r="F32" s="12" t="n">
        <v>180.77</v>
      </c>
      <c r="G32" s="11" t="n">
        <f aca="false">F32*$B$5</f>
        <v>2070.684196</v>
      </c>
      <c r="H32" s="13" t="n">
        <f aca="false">G32-E32</f>
        <v>483.453796</v>
      </c>
      <c r="I32" s="14" t="n">
        <f aca="false">IF(E32=0,"",(G32-E32)/E32)</f>
        <v>0.304589551712215</v>
      </c>
      <c r="J32" s="15" t="str">
        <f aca="false">IF(E32=0,"",IF(G32&gt;E32,"Да","Нет"))</f>
        <v>Да</v>
      </c>
      <c r="K32" s="16" t="s">
        <v>22</v>
      </c>
      <c r="L32" s="16" t="s">
        <v>22</v>
      </c>
    </row>
    <row r="33" customFormat="false" ht="15" hidden="false" customHeight="false" outlineLevel="0" collapsed="false">
      <c r="A33" s="9" t="n">
        <v>25</v>
      </c>
      <c r="B33" s="9" t="s">
        <v>46</v>
      </c>
      <c r="C33" s="9" t="n">
        <v>39</v>
      </c>
      <c r="D33" s="10" t="n">
        <v>17.36</v>
      </c>
      <c r="E33" s="11" t="n">
        <f aca="false">D33*$B$4</f>
        <v>1414.4928</v>
      </c>
      <c r="F33" s="12" t="n">
        <v>169.56</v>
      </c>
      <c r="G33" s="11" t="n">
        <f aca="false">F33*$B$5</f>
        <v>1942.275888</v>
      </c>
      <c r="H33" s="13" t="n">
        <f aca="false">G33-E33</f>
        <v>527.783088</v>
      </c>
      <c r="I33" s="14" t="n">
        <f aca="false">IF(E33=0,"",(G33-E33)/E33)</f>
        <v>0.373125326618842</v>
      </c>
      <c r="J33" s="15" t="str">
        <f aca="false">IF(E33=0,"",IF(G33&gt;E33,"Да","Нет"))</f>
        <v>Да</v>
      </c>
      <c r="K33" s="16" t="s">
        <v>22</v>
      </c>
      <c r="L33" s="16" t="s">
        <v>22</v>
      </c>
    </row>
    <row r="34" customFormat="false" ht="15" hidden="false" customHeight="false" outlineLevel="0" collapsed="false">
      <c r="A34" s="9" t="n">
        <v>26</v>
      </c>
      <c r="B34" s="9" t="s">
        <v>47</v>
      </c>
      <c r="C34" s="9" t="n">
        <v>80</v>
      </c>
      <c r="D34" s="10" t="n">
        <v>15.87</v>
      </c>
      <c r="E34" s="11" t="n">
        <f aca="false">D34*$B$4</f>
        <v>1293.0876</v>
      </c>
      <c r="F34" s="12" t="n">
        <v>170.86</v>
      </c>
      <c r="G34" s="11" t="n">
        <f aca="false">F34*$B$5</f>
        <v>1957.167128</v>
      </c>
      <c r="H34" s="13" t="n">
        <f aca="false">G34-E34</f>
        <v>664.079528</v>
      </c>
      <c r="I34" s="14" t="n">
        <f aca="false">IF(E34=0,"",(G34-E34)/E34)</f>
        <v>0.513561129191866</v>
      </c>
      <c r="J34" s="15" t="str">
        <f aca="false">IF(E34=0,"",IF(G34&gt;E34,"Да","Нет"))</f>
        <v>Да</v>
      </c>
      <c r="K34" s="16" t="s">
        <v>22</v>
      </c>
      <c r="L34" s="16" t="s">
        <v>22</v>
      </c>
    </row>
    <row r="35" customFormat="false" ht="15" hidden="false" customHeight="false" outlineLevel="0" collapsed="false">
      <c r="A35" s="9" t="n">
        <v>27</v>
      </c>
      <c r="B35" s="9" t="s">
        <v>48</v>
      </c>
      <c r="C35" s="9" t="n">
        <v>66</v>
      </c>
      <c r="D35" s="10" t="n">
        <v>14.23</v>
      </c>
      <c r="E35" s="11" t="n">
        <f aca="false">D35*$B$4</f>
        <v>1159.4604</v>
      </c>
      <c r="F35" s="12" t="n">
        <v>130.54</v>
      </c>
      <c r="G35" s="11" t="n">
        <f aca="false">F35*$B$5</f>
        <v>1495.309592</v>
      </c>
      <c r="H35" s="13" t="n">
        <f aca="false">G35-E35</f>
        <v>335.849192</v>
      </c>
      <c r="I35" s="14" t="n">
        <f aca="false">IF(E35=0,"",(G35-E35)/E35)</f>
        <v>0.289659907315506</v>
      </c>
      <c r="J35" s="15" t="str">
        <f aca="false">IF(E35=0,"",IF(G35&gt;E35,"Да","Нет"))</f>
        <v>Да</v>
      </c>
      <c r="K35" s="16" t="s">
        <v>22</v>
      </c>
      <c r="L35" s="16" t="s">
        <v>22</v>
      </c>
    </row>
    <row r="36" customFormat="false" ht="15" hidden="false" customHeight="false" outlineLevel="0" collapsed="false">
      <c r="A36" s="9" t="n">
        <v>28</v>
      </c>
      <c r="B36" s="9" t="s">
        <v>49</v>
      </c>
      <c r="C36" s="9" t="n">
        <v>1694</v>
      </c>
      <c r="D36" s="10" t="n">
        <v>13.48</v>
      </c>
      <c r="E36" s="11" t="n">
        <f aca="false">D36*$B$4</f>
        <v>1098.3504</v>
      </c>
      <c r="F36" s="12" t="n">
        <v>130.54</v>
      </c>
      <c r="G36" s="11" t="n">
        <f aca="false">F36*$B$5</f>
        <v>1495.309592</v>
      </c>
      <c r="H36" s="13" t="n">
        <f aca="false">G36-E36</f>
        <v>396.959192</v>
      </c>
      <c r="I36" s="14" t="n">
        <f aca="false">IF(E36=0,"",(G36-E36)/E36)</f>
        <v>0.361413982277423</v>
      </c>
      <c r="J36" s="15" t="str">
        <f aca="false">IF(E36=0,"",IF(G36&gt;E36,"Да","Нет"))</f>
        <v>Да</v>
      </c>
      <c r="K36" s="16" t="s">
        <v>22</v>
      </c>
      <c r="L36" s="16" t="s">
        <v>22</v>
      </c>
    </row>
    <row r="37" customFormat="false" ht="15" hidden="false" customHeight="false" outlineLevel="0" collapsed="false">
      <c r="A37" s="9" t="n">
        <v>29</v>
      </c>
      <c r="B37" s="9" t="s">
        <v>50</v>
      </c>
      <c r="C37" s="9" t="n">
        <v>1384</v>
      </c>
      <c r="D37" s="10" t="n">
        <v>13.33</v>
      </c>
      <c r="E37" s="11" t="n">
        <f aca="false">D37*$B$4</f>
        <v>1086.1284</v>
      </c>
      <c r="F37" s="12" t="n">
        <v>134.98</v>
      </c>
      <c r="G37" s="11" t="n">
        <f aca="false">F37*$B$5</f>
        <v>1546.168904</v>
      </c>
      <c r="H37" s="13" t="n">
        <f aca="false">G37-E37</f>
        <v>460.040504</v>
      </c>
      <c r="I37" s="14" t="n">
        <f aca="false">IF(E37=0,"",(G37-E37)/E37)</f>
        <v>0.423559962155487</v>
      </c>
      <c r="J37" s="15" t="str">
        <f aca="false">IF(E37=0,"",IF(G37&gt;E37,"Да","Нет"))</f>
        <v>Да</v>
      </c>
      <c r="K37" s="16" t="s">
        <v>22</v>
      </c>
      <c r="L37" s="16" t="s">
        <v>22</v>
      </c>
    </row>
    <row r="38" customFormat="false" ht="15" hidden="false" customHeight="false" outlineLevel="0" collapsed="false">
      <c r="A38" s="9" t="n">
        <v>30</v>
      </c>
      <c r="B38" s="9" t="s">
        <v>51</v>
      </c>
      <c r="C38" s="9" t="n">
        <v>62</v>
      </c>
      <c r="D38" s="10" t="n">
        <v>13.19</v>
      </c>
      <c r="E38" s="11" t="n">
        <f aca="false">D38*$B$4</f>
        <v>1074.7212</v>
      </c>
      <c r="F38" s="12" t="n">
        <v>134.57</v>
      </c>
      <c r="G38" s="11" t="n">
        <f aca="false">F38*$B$5</f>
        <v>1541.472436</v>
      </c>
      <c r="H38" s="13" t="n">
        <f aca="false">G38-E38</f>
        <v>466.751236</v>
      </c>
      <c r="I38" s="14" t="n">
        <f aca="false">IF(E38=0,"",(G38-E38)/E38)</f>
        <v>0.434299831435353</v>
      </c>
      <c r="J38" s="15" t="str">
        <f aca="false">IF(E38=0,"",IF(G38&gt;E38,"Да","Нет"))</f>
        <v>Да</v>
      </c>
      <c r="K38" s="16" t="s">
        <v>22</v>
      </c>
      <c r="L38" s="16" t="s">
        <v>22</v>
      </c>
    </row>
    <row r="39" customFormat="false" ht="15" hidden="false" customHeight="false" outlineLevel="0" collapsed="false">
      <c r="A39" s="9" t="n">
        <v>31</v>
      </c>
      <c r="B39" s="9" t="s">
        <v>52</v>
      </c>
      <c r="C39" s="9" t="n">
        <v>3</v>
      </c>
      <c r="D39" s="10" t="n">
        <v>12.62</v>
      </c>
      <c r="E39" s="11" t="n">
        <f aca="false">D39*$B$4</f>
        <v>1028.2776</v>
      </c>
      <c r="F39" s="12" t="n">
        <v>122.95</v>
      </c>
      <c r="G39" s="11" t="n">
        <f aca="false">F39*$B$5</f>
        <v>1408.36766</v>
      </c>
      <c r="H39" s="13" t="n">
        <f aca="false">G39-E39</f>
        <v>380.09006</v>
      </c>
      <c r="I39" s="14" t="n">
        <f aca="false">IF(E39=0,"",(G39-E39)/E39)</f>
        <v>0.369637595917679</v>
      </c>
      <c r="J39" s="15" t="str">
        <f aca="false">IF(E39=0,"",IF(G39&gt;E39,"Да","Нет"))</f>
        <v>Да</v>
      </c>
      <c r="K39" s="16" t="s">
        <v>22</v>
      </c>
      <c r="L39" s="16" t="s">
        <v>22</v>
      </c>
    </row>
    <row r="40" customFormat="false" ht="15" hidden="false" customHeight="false" outlineLevel="0" collapsed="false">
      <c r="A40" s="9" t="n">
        <v>32</v>
      </c>
      <c r="B40" s="9" t="s">
        <v>53</v>
      </c>
      <c r="C40" s="9" t="n">
        <v>84</v>
      </c>
      <c r="D40" s="10" t="n">
        <v>12.57</v>
      </c>
      <c r="E40" s="11" t="n">
        <f aca="false">D40*$B$4</f>
        <v>1024.2036</v>
      </c>
      <c r="F40" s="12" t="n">
        <v>122.75</v>
      </c>
      <c r="G40" s="11" t="n">
        <f aca="false">F40*$B$5</f>
        <v>1406.0767</v>
      </c>
      <c r="H40" s="13" t="n">
        <f aca="false">G40-E40</f>
        <v>381.8731</v>
      </c>
      <c r="I40" s="14" t="n">
        <f aca="false">IF(E40=0,"",(G40-E40)/E40)</f>
        <v>0.372848816387679</v>
      </c>
      <c r="J40" s="15" t="str">
        <f aca="false">IF(E40=0,"",IF(G40&gt;E40,"Да","Нет"))</f>
        <v>Да</v>
      </c>
      <c r="K40" s="16" t="s">
        <v>22</v>
      </c>
      <c r="L40" s="16" t="s">
        <v>22</v>
      </c>
    </row>
    <row r="41" customFormat="false" ht="15" hidden="false" customHeight="false" outlineLevel="0" collapsed="false">
      <c r="A41" s="9" t="n">
        <v>33</v>
      </c>
      <c r="B41" s="9" t="s">
        <v>54</v>
      </c>
      <c r="C41" s="9" t="n">
        <v>357</v>
      </c>
      <c r="D41" s="10" t="n">
        <v>12.35</v>
      </c>
      <c r="E41" s="11" t="n">
        <f aca="false">D41*$B$4</f>
        <v>1006.278</v>
      </c>
      <c r="F41" s="12" t="n">
        <v>122.88</v>
      </c>
      <c r="G41" s="11" t="n">
        <f aca="false">F41*$B$5</f>
        <v>1407.565824</v>
      </c>
      <c r="H41" s="13" t="n">
        <f aca="false">G41-E41</f>
        <v>401.287824</v>
      </c>
      <c r="I41" s="14" t="n">
        <f aca="false">IF(E41=0,"",(G41-E41)/E41)</f>
        <v>0.398784256438082</v>
      </c>
      <c r="J41" s="15" t="str">
        <f aca="false">IF(E41=0,"",IF(G41&gt;E41,"Да","Нет"))</f>
        <v>Да</v>
      </c>
      <c r="K41" s="16" t="s">
        <v>22</v>
      </c>
      <c r="L41" s="16" t="s">
        <v>22</v>
      </c>
    </row>
    <row r="42" customFormat="false" ht="15" hidden="false" customHeight="false" outlineLevel="0" collapsed="false">
      <c r="A42" s="9" t="n">
        <v>34</v>
      </c>
      <c r="B42" s="9" t="s">
        <v>55</v>
      </c>
      <c r="C42" s="9" t="n">
        <v>183</v>
      </c>
      <c r="D42" s="10" t="n">
        <v>11.6</v>
      </c>
      <c r="E42" s="11" t="n">
        <f aca="false">D42*$B$4</f>
        <v>945.168</v>
      </c>
      <c r="F42" s="12" t="n">
        <v>108.67</v>
      </c>
      <c r="G42" s="11" t="n">
        <f aca="false">F42*$B$5</f>
        <v>1244.793116</v>
      </c>
      <c r="H42" s="13" t="n">
        <f aca="false">G42-E42</f>
        <v>299.625116</v>
      </c>
      <c r="I42" s="14" t="n">
        <f aca="false">IF(E42=0,"",(G42-E42)/E42)</f>
        <v>0.317007257968954</v>
      </c>
      <c r="J42" s="15" t="str">
        <f aca="false">IF(E42=0,"",IF(G42&gt;E42,"Да","Нет"))</f>
        <v>Да</v>
      </c>
      <c r="K42" s="16" t="s">
        <v>22</v>
      </c>
      <c r="L42" s="16" t="s">
        <v>22</v>
      </c>
    </row>
    <row r="43" customFormat="false" ht="15" hidden="false" customHeight="false" outlineLevel="0" collapsed="false">
      <c r="A43" s="9" t="n">
        <v>35</v>
      </c>
      <c r="B43" s="9" t="s">
        <v>56</v>
      </c>
      <c r="C43" s="9" t="n">
        <v>1774</v>
      </c>
      <c r="D43" s="10" t="n">
        <v>10.83</v>
      </c>
      <c r="E43" s="11" t="n">
        <f aca="false">D43*$B$4</f>
        <v>882.4284</v>
      </c>
      <c r="F43" s="12" t="n">
        <v>113.59</v>
      </c>
      <c r="G43" s="11" t="n">
        <f aca="false">F43*$B$5</f>
        <v>1301.150732</v>
      </c>
      <c r="H43" s="13" t="n">
        <f aca="false">G43-E43</f>
        <v>418.722332</v>
      </c>
      <c r="I43" s="14" t="n">
        <f aca="false">IF(E43=0,"",(G43-E43)/E43)</f>
        <v>0.474511396052076</v>
      </c>
      <c r="J43" s="15" t="str">
        <f aca="false">IF(E43=0,"",IF(G43&gt;E43,"Да","Нет"))</f>
        <v>Да</v>
      </c>
      <c r="K43" s="16" t="s">
        <v>22</v>
      </c>
      <c r="L43" s="16" t="s">
        <v>22</v>
      </c>
    </row>
    <row r="44" customFormat="false" ht="15" hidden="false" customHeight="false" outlineLevel="0" collapsed="false">
      <c r="A44" s="9" t="n">
        <v>36</v>
      </c>
      <c r="B44" s="9" t="s">
        <v>57</v>
      </c>
      <c r="C44" s="9" t="n">
        <v>170</v>
      </c>
      <c r="D44" s="10" t="n">
        <v>10.73</v>
      </c>
      <c r="E44" s="11" t="n">
        <f aca="false">D44*$B$4</f>
        <v>874.2804</v>
      </c>
      <c r="F44" s="12" t="n">
        <v>103.4</v>
      </c>
      <c r="G44" s="11" t="n">
        <f aca="false">F44*$B$5</f>
        <v>1184.42632</v>
      </c>
      <c r="H44" s="13" t="n">
        <f aca="false">G44-E44</f>
        <v>310.14592</v>
      </c>
      <c r="I44" s="14" t="n">
        <f aca="false">IF(E44=0,"",(G44-E44)/E44)</f>
        <v>0.354744221647883</v>
      </c>
      <c r="J44" s="15" t="str">
        <f aca="false">IF(E44=0,"",IF(G44&gt;E44,"Да","Нет"))</f>
        <v>Да</v>
      </c>
      <c r="K44" s="16" t="s">
        <v>22</v>
      </c>
      <c r="L44" s="16" t="s">
        <v>22</v>
      </c>
    </row>
    <row r="45" customFormat="false" ht="15" hidden="false" customHeight="false" outlineLevel="0" collapsed="false">
      <c r="A45" s="9" t="n">
        <v>37</v>
      </c>
      <c r="B45" s="9" t="s">
        <v>58</v>
      </c>
      <c r="C45" s="9" t="n">
        <v>100</v>
      </c>
      <c r="D45" s="10" t="n">
        <v>10.46</v>
      </c>
      <c r="E45" s="11" t="n">
        <f aca="false">D45*$B$4</f>
        <v>852.2808</v>
      </c>
      <c r="F45" s="12" t="n">
        <v>95.27</v>
      </c>
      <c r="G45" s="11" t="n">
        <f aca="false">F45*$B$5</f>
        <v>1091.298796</v>
      </c>
      <c r="H45" s="13" t="n">
        <f aca="false">G45-E45</f>
        <v>239.017996</v>
      </c>
      <c r="I45" s="14" t="n">
        <f aca="false">IF(E45=0,"",(G45-E45)/E45)</f>
        <v>0.280445125597104</v>
      </c>
      <c r="J45" s="15" t="str">
        <f aca="false">IF(E45=0,"",IF(G45&gt;E45,"Да","Нет"))</f>
        <v>Да</v>
      </c>
      <c r="K45" s="16" t="s">
        <v>22</v>
      </c>
      <c r="L45" s="16" t="s">
        <v>22</v>
      </c>
    </row>
    <row r="46" customFormat="false" ht="15" hidden="false" customHeight="false" outlineLevel="0" collapsed="false">
      <c r="A46" s="9" t="n">
        <v>38</v>
      </c>
      <c r="B46" s="9" t="s">
        <v>59</v>
      </c>
      <c r="C46" s="9" t="n">
        <v>201</v>
      </c>
      <c r="D46" s="10" t="n">
        <v>10.4</v>
      </c>
      <c r="E46" s="11" t="n">
        <f aca="false">D46*$B$4</f>
        <v>847.392</v>
      </c>
      <c r="F46" s="12" t="n">
        <v>107.98</v>
      </c>
      <c r="G46" s="11" t="n">
        <f aca="false">F46*$B$5</f>
        <v>1236.889304</v>
      </c>
      <c r="H46" s="13" t="n">
        <f aca="false">G46-E46</f>
        <v>389.497304</v>
      </c>
      <c r="I46" s="14" t="n">
        <f aca="false">IF(E46=0,"",(G46-E46)/E46)</f>
        <v>0.459642413428496</v>
      </c>
      <c r="J46" s="15" t="str">
        <f aca="false">IF(E46=0,"",IF(G46&gt;E46,"Да","Нет"))</f>
        <v>Да</v>
      </c>
      <c r="K46" s="16" t="s">
        <v>22</v>
      </c>
      <c r="L46" s="16" t="s">
        <v>22</v>
      </c>
    </row>
    <row r="47" customFormat="false" ht="15" hidden="false" customHeight="false" outlineLevel="0" collapsed="false">
      <c r="A47" s="9" t="n">
        <v>39</v>
      </c>
      <c r="B47" s="9" t="s">
        <v>60</v>
      </c>
      <c r="C47" s="9" t="n">
        <v>192</v>
      </c>
      <c r="D47" s="10" t="n">
        <v>10.31</v>
      </c>
      <c r="E47" s="11" t="n">
        <f aca="false">D47*$B$4</f>
        <v>840.0588</v>
      </c>
      <c r="F47" s="12" t="n">
        <v>102.31</v>
      </c>
      <c r="G47" s="11" t="n">
        <f aca="false">F47*$B$5</f>
        <v>1171.940588</v>
      </c>
      <c r="H47" s="13" t="n">
        <f aca="false">G47-E47</f>
        <v>331.881788</v>
      </c>
      <c r="I47" s="14" t="n">
        <f aca="false">IF(E47=0,"",(G47-E47)/E47)</f>
        <v>0.395069711786842</v>
      </c>
      <c r="J47" s="15" t="str">
        <f aca="false">IF(E47=0,"",IF(G47&gt;E47,"Да","Нет"))</f>
        <v>Да</v>
      </c>
      <c r="K47" s="16" t="s">
        <v>22</v>
      </c>
      <c r="L47" s="16" t="s">
        <v>22</v>
      </c>
    </row>
    <row r="48" customFormat="false" ht="15" hidden="false" customHeight="false" outlineLevel="0" collapsed="false">
      <c r="A48" s="9" t="n">
        <v>40</v>
      </c>
      <c r="B48" s="9" t="s">
        <v>61</v>
      </c>
      <c r="C48" s="9" t="n">
        <v>499</v>
      </c>
      <c r="D48" s="10" t="n">
        <v>10.19</v>
      </c>
      <c r="E48" s="11" t="n">
        <f aca="false">D48*$B$4</f>
        <v>830.2812</v>
      </c>
      <c r="F48" s="12" t="n">
        <v>98.21</v>
      </c>
      <c r="G48" s="11" t="n">
        <f aca="false">F48*$B$5</f>
        <v>1124.975908</v>
      </c>
      <c r="H48" s="13" t="n">
        <f aca="false">G48-E48</f>
        <v>294.694708</v>
      </c>
      <c r="I48" s="14" t="n">
        <f aca="false">IF(E48=0,"",(G48-E48)/E48)</f>
        <v>0.354933615261914</v>
      </c>
      <c r="J48" s="15" t="str">
        <f aca="false">IF(E48=0,"",IF(G48&gt;E48,"Да","Нет"))</f>
        <v>Да</v>
      </c>
      <c r="K48" s="16" t="s">
        <v>22</v>
      </c>
      <c r="L48" s="16" t="s">
        <v>22</v>
      </c>
    </row>
    <row r="49" customFormat="false" ht="15" hidden="false" customHeight="false" outlineLevel="0" collapsed="false">
      <c r="A49" s="9" t="n">
        <v>41</v>
      </c>
      <c r="B49" s="9" t="s">
        <v>62</v>
      </c>
      <c r="C49" s="9" t="n">
        <v>1256</v>
      </c>
      <c r="D49" s="10" t="n">
        <v>10.14</v>
      </c>
      <c r="E49" s="11" t="n">
        <f aca="false">D49*$B$4</f>
        <v>826.2072</v>
      </c>
      <c r="F49" s="12" t="n">
        <v>89.39</v>
      </c>
      <c r="G49" s="11" t="n">
        <f aca="false">F49*$B$5</f>
        <v>1023.944572</v>
      </c>
      <c r="H49" s="13" t="n">
        <f aca="false">G49-E49</f>
        <v>197.737372</v>
      </c>
      <c r="I49" s="14" t="n">
        <f aca="false">IF(E49=0,"",(G49-E49)/E49)</f>
        <v>0.239331455838197</v>
      </c>
      <c r="J49" s="15" t="str">
        <f aca="false">IF(E49=0,"",IF(G49&gt;E49,"Да","Нет"))</f>
        <v>Да</v>
      </c>
      <c r="K49" s="16" t="s">
        <v>22</v>
      </c>
      <c r="L49" s="16" t="s">
        <v>22</v>
      </c>
    </row>
    <row r="50" customFormat="false" ht="15" hidden="false" customHeight="false" outlineLevel="0" collapsed="false">
      <c r="A50" s="9" t="n">
        <v>42</v>
      </c>
      <c r="B50" s="9" t="s">
        <v>63</v>
      </c>
      <c r="C50" s="9" t="n">
        <v>1000</v>
      </c>
      <c r="D50" s="10" t="n">
        <v>10.06</v>
      </c>
      <c r="E50" s="11" t="n">
        <f aca="false">D50*$B$4</f>
        <v>819.6888</v>
      </c>
      <c r="F50" s="12" t="n">
        <v>105.66</v>
      </c>
      <c r="G50" s="11" t="n">
        <f aca="false">F50*$B$5</f>
        <v>1210.314168</v>
      </c>
      <c r="H50" s="13" t="n">
        <f aca="false">G50-E50</f>
        <v>390.625368</v>
      </c>
      <c r="I50" s="14" t="n">
        <f aca="false">IF(E50=0,"",(G50-E50)/E50)</f>
        <v>0.47655325777295</v>
      </c>
      <c r="J50" s="15" t="str">
        <f aca="false">IF(E50=0,"",IF(G50&gt;E50,"Да","Нет"))</f>
        <v>Да</v>
      </c>
      <c r="K50" s="16" t="s">
        <v>22</v>
      </c>
      <c r="L50" s="16" t="s">
        <v>22</v>
      </c>
    </row>
    <row r="51" customFormat="false" ht="15" hidden="false" customHeight="false" outlineLevel="0" collapsed="false">
      <c r="A51" s="9" t="n">
        <v>43</v>
      </c>
      <c r="B51" s="9" t="s">
        <v>64</v>
      </c>
      <c r="C51" s="9" t="n">
        <v>93</v>
      </c>
      <c r="D51" s="10" t="n">
        <v>9.77</v>
      </c>
      <c r="E51" s="11" t="n">
        <f aca="false">D51*$B$4</f>
        <v>796.0596</v>
      </c>
      <c r="F51" s="12" t="n">
        <v>88.16</v>
      </c>
      <c r="G51" s="11" t="n">
        <f aca="false">F51*$B$5</f>
        <v>1009.855168</v>
      </c>
      <c r="H51" s="13" t="n">
        <f aca="false">G51-E51</f>
        <v>213.795568</v>
      </c>
      <c r="I51" s="14" t="n">
        <f aca="false">IF(E51=0,"",(G51-E51)/E51)</f>
        <v>0.26856728817792</v>
      </c>
      <c r="J51" s="15" t="str">
        <f aca="false">IF(E51=0,"",IF(G51&gt;E51,"Да","Нет"))</f>
        <v>Да</v>
      </c>
      <c r="K51" s="16" t="s">
        <v>22</v>
      </c>
      <c r="L51" s="16" t="s">
        <v>22</v>
      </c>
    </row>
    <row r="52" customFormat="false" ht="15" hidden="false" customHeight="false" outlineLevel="0" collapsed="false">
      <c r="A52" s="9" t="n">
        <v>44</v>
      </c>
      <c r="B52" s="9" t="s">
        <v>65</v>
      </c>
      <c r="C52" s="9" t="n">
        <v>179</v>
      </c>
      <c r="D52" s="10" t="n">
        <v>9.31</v>
      </c>
      <c r="E52" s="11" t="n">
        <f aca="false">D52*$B$4</f>
        <v>758.5788</v>
      </c>
      <c r="F52" s="12" t="n">
        <v>82.49</v>
      </c>
      <c r="G52" s="11" t="n">
        <f aca="false">F52*$B$5</f>
        <v>944.906452</v>
      </c>
      <c r="H52" s="13" t="n">
        <f aca="false">G52-E52</f>
        <v>186.327652</v>
      </c>
      <c r="I52" s="14" t="n">
        <f aca="false">IF(E52=0,"",(G52-E52)/E52)</f>
        <v>0.245627286183057</v>
      </c>
      <c r="J52" s="15" t="str">
        <f aca="false">IF(E52=0,"",IF(G52&gt;E52,"Да","Нет"))</f>
        <v>Да</v>
      </c>
      <c r="K52" s="16" t="s">
        <v>22</v>
      </c>
      <c r="L52" s="16" t="s">
        <v>22</v>
      </c>
    </row>
    <row r="53" customFormat="false" ht="15" hidden="false" customHeight="false" outlineLevel="0" collapsed="false">
      <c r="A53" s="9" t="n">
        <v>45</v>
      </c>
      <c r="B53" s="9" t="s">
        <v>66</v>
      </c>
      <c r="C53" s="9" t="n">
        <v>703</v>
      </c>
      <c r="D53" s="10" t="n">
        <v>8.7</v>
      </c>
      <c r="E53" s="11" t="n">
        <f aca="false">D53*$B$4</f>
        <v>708.876</v>
      </c>
      <c r="F53" s="12" t="n">
        <v>87.27</v>
      </c>
      <c r="G53" s="11" t="n">
        <f aca="false">F53*$B$5</f>
        <v>999.660396</v>
      </c>
      <c r="H53" s="13" t="n">
        <f aca="false">G53-E53</f>
        <v>290.784396</v>
      </c>
      <c r="I53" s="14" t="n">
        <f aca="false">IF(E53=0,"",(G53-E53)/E53)</f>
        <v>0.410204882095035</v>
      </c>
      <c r="J53" s="15" t="str">
        <f aca="false">IF(E53=0,"",IF(G53&gt;E53,"Да","Нет"))</f>
        <v>Да</v>
      </c>
      <c r="K53" s="16" t="s">
        <v>22</v>
      </c>
      <c r="L53" s="16" t="s">
        <v>22</v>
      </c>
    </row>
    <row r="54" customFormat="false" ht="15" hidden="false" customHeight="false" outlineLevel="0" collapsed="false">
      <c r="A54" s="9" t="n">
        <v>46</v>
      </c>
      <c r="B54" s="9" t="s">
        <v>67</v>
      </c>
      <c r="C54" s="9" t="n">
        <v>19</v>
      </c>
      <c r="D54" s="10" t="n">
        <v>8.6</v>
      </c>
      <c r="E54" s="11" t="n">
        <f aca="false">D54*$B$4</f>
        <v>700.728</v>
      </c>
      <c r="F54" s="12" t="n">
        <v>81.4</v>
      </c>
      <c r="G54" s="11" t="n">
        <f aca="false">F54*$B$5</f>
        <v>932.42072</v>
      </c>
      <c r="H54" s="13" t="n">
        <f aca="false">G54-E54</f>
        <v>231.69272</v>
      </c>
      <c r="I54" s="14" t="n">
        <f aca="false">IF(E54=0,"",(G54-E54)/E54)</f>
        <v>0.33064572844242</v>
      </c>
      <c r="J54" s="15" t="str">
        <f aca="false">IF(E54=0,"",IF(G54&gt;E54,"Да","Нет"))</f>
        <v>Да</v>
      </c>
      <c r="K54" s="16" t="s">
        <v>22</v>
      </c>
      <c r="L54" s="16" t="s">
        <v>22</v>
      </c>
    </row>
    <row r="55" customFormat="false" ht="15" hidden="false" customHeight="false" outlineLevel="0" collapsed="false">
      <c r="A55" s="9" t="n">
        <v>47</v>
      </c>
      <c r="B55" s="9" t="s">
        <v>68</v>
      </c>
      <c r="C55" s="9" t="n">
        <v>98</v>
      </c>
      <c r="D55" s="10" t="n">
        <v>8.28</v>
      </c>
      <c r="E55" s="11" t="n">
        <f aca="false">D55*$B$4</f>
        <v>674.6544</v>
      </c>
      <c r="F55" s="12" t="n">
        <v>86.8</v>
      </c>
      <c r="G55" s="11" t="n">
        <f aca="false">F55*$B$5</f>
        <v>994.27664</v>
      </c>
      <c r="H55" s="13" t="n">
        <f aca="false">G55-E55</f>
        <v>319.62224</v>
      </c>
      <c r="I55" s="14" t="n">
        <f aca="false">IF(E55=0,"",(G55-E55)/E55)</f>
        <v>0.473756993210153</v>
      </c>
      <c r="J55" s="15" t="str">
        <f aca="false">IF(E55=0,"",IF(G55&gt;E55,"Да","Нет"))</f>
        <v>Да</v>
      </c>
      <c r="K55" s="16" t="s">
        <v>22</v>
      </c>
      <c r="L55" s="16" t="s">
        <v>22</v>
      </c>
    </row>
    <row r="56" customFormat="false" ht="15" hidden="false" customHeight="false" outlineLevel="0" collapsed="false">
      <c r="A56" s="9" t="n">
        <v>48</v>
      </c>
      <c r="B56" s="9" t="s">
        <v>69</v>
      </c>
      <c r="C56" s="9" t="n">
        <v>258</v>
      </c>
      <c r="D56" s="10" t="n">
        <v>8.22</v>
      </c>
      <c r="E56" s="11" t="n">
        <f aca="false">D56*$B$4</f>
        <v>669.7656</v>
      </c>
      <c r="F56" s="12" t="n">
        <v>77.43</v>
      </c>
      <c r="G56" s="11" t="n">
        <f aca="false">F56*$B$5</f>
        <v>886.945164</v>
      </c>
      <c r="H56" s="13" t="n">
        <f aca="false">G56-E56</f>
        <v>217.179564</v>
      </c>
      <c r="I56" s="14" t="n">
        <f aca="false">IF(E56=0,"",(G56-E56)/E56)</f>
        <v>0.324262046303961</v>
      </c>
      <c r="J56" s="15" t="str">
        <f aca="false">IF(E56=0,"",IF(G56&gt;E56,"Да","Нет"))</f>
        <v>Да</v>
      </c>
      <c r="K56" s="16" t="s">
        <v>22</v>
      </c>
      <c r="L56" s="16" t="s">
        <v>22</v>
      </c>
    </row>
    <row r="57" customFormat="false" ht="15" hidden="false" customHeight="false" outlineLevel="0" collapsed="false">
      <c r="A57" s="9" t="n">
        <v>49</v>
      </c>
      <c r="B57" s="9" t="s">
        <v>70</v>
      </c>
      <c r="C57" s="9" t="n">
        <v>835</v>
      </c>
      <c r="D57" s="10" t="n">
        <v>8.19</v>
      </c>
      <c r="E57" s="11" t="n">
        <f aca="false">D57*$B$4</f>
        <v>667.3212</v>
      </c>
      <c r="F57" s="12" t="n">
        <v>85.29</v>
      </c>
      <c r="G57" s="11" t="n">
        <f aca="false">F57*$B$5</f>
        <v>976.979892</v>
      </c>
      <c r="H57" s="13" t="n">
        <f aca="false">G57-E57</f>
        <v>309.658692</v>
      </c>
      <c r="I57" s="14" t="n">
        <f aca="false">IF(E57=0,"",(G57-E57)/E57)</f>
        <v>0.464032450939668</v>
      </c>
      <c r="J57" s="15" t="str">
        <f aca="false">IF(E57=0,"",IF(G57&gt;E57,"Да","Нет"))</f>
        <v>Да</v>
      </c>
      <c r="K57" s="16" t="s">
        <v>22</v>
      </c>
      <c r="L57" s="16" t="s">
        <v>22</v>
      </c>
    </row>
    <row r="58" customFormat="false" ht="15" hidden="false" customHeight="false" outlineLevel="0" collapsed="false">
      <c r="A58" s="9" t="n">
        <v>50</v>
      </c>
      <c r="B58" s="9" t="s">
        <v>71</v>
      </c>
      <c r="C58" s="9" t="n">
        <v>137</v>
      </c>
      <c r="D58" s="10" t="n">
        <v>8.08</v>
      </c>
      <c r="E58" s="11" t="n">
        <f aca="false">D58*$B$4</f>
        <v>658.3584</v>
      </c>
      <c r="F58" s="12" t="n">
        <v>70.73</v>
      </c>
      <c r="G58" s="11" t="n">
        <f aca="false">F58*$B$5</f>
        <v>810.198004</v>
      </c>
      <c r="H58" s="13" t="n">
        <f aca="false">G58-E58</f>
        <v>151.839604</v>
      </c>
      <c r="I58" s="14" t="n">
        <f aca="false">IF(E58=0,"",(G58-E58)/E58)</f>
        <v>0.230633654860331</v>
      </c>
      <c r="J58" s="15" t="str">
        <f aca="false">IF(E58=0,"",IF(G58&gt;E58,"Да","Нет"))</f>
        <v>Да</v>
      </c>
      <c r="K58" s="16" t="s">
        <v>22</v>
      </c>
      <c r="L58" s="16" t="s">
        <v>22</v>
      </c>
    </row>
    <row r="59" customFormat="false" ht="15" hidden="false" customHeight="false" outlineLevel="0" collapsed="false">
      <c r="A59" s="9" t="n">
        <v>51</v>
      </c>
      <c r="B59" s="9" t="s">
        <v>72</v>
      </c>
      <c r="C59" s="9" t="n">
        <v>1380</v>
      </c>
      <c r="D59" s="10" t="n">
        <v>7.98</v>
      </c>
      <c r="E59" s="11" t="n">
        <f aca="false">D59*$B$4</f>
        <v>650.2104</v>
      </c>
      <c r="F59" s="12" t="n">
        <v>75.25</v>
      </c>
      <c r="G59" s="11" t="n">
        <f aca="false">F59*$B$5</f>
        <v>861.9737</v>
      </c>
      <c r="H59" s="13" t="n">
        <f aca="false">G59-E59</f>
        <v>211.7633</v>
      </c>
      <c r="I59" s="14" t="n">
        <f aca="false">IF(E59=0,"",(G59-E59)/E59)</f>
        <v>0.325684270814493</v>
      </c>
      <c r="J59" s="15" t="str">
        <f aca="false">IF(E59=0,"",IF(G59&gt;E59,"Да","Нет"))</f>
        <v>Да</v>
      </c>
      <c r="K59" s="16" t="s">
        <v>22</v>
      </c>
      <c r="L59" s="16" t="s">
        <v>22</v>
      </c>
    </row>
    <row r="60" customFormat="false" ht="15" hidden="false" customHeight="false" outlineLevel="0" collapsed="false">
      <c r="A60" s="9" t="n">
        <v>52</v>
      </c>
      <c r="B60" s="9" t="s">
        <v>73</v>
      </c>
      <c r="C60" s="9" t="n">
        <v>823</v>
      </c>
      <c r="D60" s="10" t="n">
        <v>7.91</v>
      </c>
      <c r="E60" s="11" t="n">
        <f aca="false">D60*$B$4</f>
        <v>644.5068</v>
      </c>
      <c r="F60" s="12" t="n">
        <v>79.48</v>
      </c>
      <c r="G60" s="11" t="n">
        <f aca="false">F60*$B$5</f>
        <v>910.427504</v>
      </c>
      <c r="H60" s="13" t="n">
        <f aca="false">G60-E60</f>
        <v>265.920704</v>
      </c>
      <c r="I60" s="14" t="n">
        <f aca="false">IF(E60=0,"",(G60-E60)/E60)</f>
        <v>0.412595652986129</v>
      </c>
      <c r="J60" s="15" t="str">
        <f aca="false">IF(E60=0,"",IF(G60&gt;E60,"Да","Нет"))</f>
        <v>Да</v>
      </c>
      <c r="K60" s="16" t="s">
        <v>22</v>
      </c>
      <c r="L60" s="16" t="s">
        <v>22</v>
      </c>
    </row>
    <row r="61" customFormat="false" ht="15" hidden="false" customHeight="false" outlineLevel="0" collapsed="false">
      <c r="A61" s="9" t="n">
        <v>53</v>
      </c>
      <c r="B61" s="9" t="s">
        <v>74</v>
      </c>
      <c r="C61" s="9" t="n">
        <v>741</v>
      </c>
      <c r="D61" s="10" t="n">
        <v>7.87</v>
      </c>
      <c r="E61" s="11" t="n">
        <f aca="false">D61*$B$4</f>
        <v>641.2476</v>
      </c>
      <c r="F61" s="12" t="n">
        <v>77.36</v>
      </c>
      <c r="G61" s="11" t="n">
        <f aca="false">F61*$B$5</f>
        <v>886.143328</v>
      </c>
      <c r="H61" s="13" t="n">
        <f aca="false">G61-E61</f>
        <v>244.895728</v>
      </c>
      <c r="I61" s="14" t="n">
        <f aca="false">IF(E61=0,"",(G61-E61)/E61)</f>
        <v>0.381905098748128</v>
      </c>
      <c r="J61" s="15" t="str">
        <f aca="false">IF(E61=0,"",IF(G61&gt;E61,"Да","Нет"))</f>
        <v>Да</v>
      </c>
      <c r="K61" s="16" t="s">
        <v>22</v>
      </c>
      <c r="L61" s="16" t="s">
        <v>22</v>
      </c>
    </row>
    <row r="62" customFormat="false" ht="15" hidden="false" customHeight="false" outlineLevel="0" collapsed="false">
      <c r="A62" s="9" t="n">
        <v>54</v>
      </c>
      <c r="B62" s="9" t="s">
        <v>75</v>
      </c>
      <c r="C62" s="9" t="n">
        <v>1143</v>
      </c>
      <c r="D62" s="10" t="n">
        <v>7.73</v>
      </c>
      <c r="E62" s="11" t="n">
        <f aca="false">D62*$B$4</f>
        <v>629.8404</v>
      </c>
      <c r="F62" s="12" t="n">
        <v>74.97</v>
      </c>
      <c r="G62" s="11" t="n">
        <f aca="false">F62*$B$5</f>
        <v>858.766356</v>
      </c>
      <c r="H62" s="13" t="n">
        <f aca="false">G62-E62</f>
        <v>228.925956</v>
      </c>
      <c r="I62" s="14" t="n">
        <f aca="false">IF(E62=0,"",(G62-E62)/E62)</f>
        <v>0.36346661154159</v>
      </c>
      <c r="J62" s="15" t="str">
        <f aca="false">IF(E62=0,"",IF(G62&gt;E62,"Да","Нет"))</f>
        <v>Да</v>
      </c>
      <c r="K62" s="16" t="s">
        <v>22</v>
      </c>
      <c r="L62" s="16" t="s">
        <v>22</v>
      </c>
    </row>
    <row r="63" customFormat="false" ht="15" hidden="false" customHeight="false" outlineLevel="0" collapsed="false">
      <c r="A63" s="9" t="n">
        <v>55</v>
      </c>
      <c r="B63" s="9" t="s">
        <v>76</v>
      </c>
      <c r="C63" s="9" t="n">
        <v>144</v>
      </c>
      <c r="D63" s="10" t="n">
        <v>7.68</v>
      </c>
      <c r="E63" s="11" t="n">
        <f aca="false">D63*$B$4</f>
        <v>625.7664</v>
      </c>
      <c r="F63" s="12" t="n">
        <v>73.06</v>
      </c>
      <c r="G63" s="11" t="n">
        <f aca="false">F63*$B$5</f>
        <v>836.887688</v>
      </c>
      <c r="H63" s="13" t="n">
        <f aca="false">G63-E63</f>
        <v>211.121288</v>
      </c>
      <c r="I63" s="14" t="n">
        <f aca="false">IF(E63=0,"",(G63-E63)/E63)</f>
        <v>0.337380351517755</v>
      </c>
      <c r="J63" s="15" t="str">
        <f aca="false">IF(E63=0,"",IF(G63&gt;E63,"Да","Нет"))</f>
        <v>Да</v>
      </c>
      <c r="K63" s="16" t="s">
        <v>22</v>
      </c>
      <c r="L63" s="16" t="s">
        <v>22</v>
      </c>
    </row>
    <row r="64" customFormat="false" ht="15" hidden="false" customHeight="false" outlineLevel="0" collapsed="false">
      <c r="A64" s="9" t="n">
        <v>56</v>
      </c>
      <c r="B64" s="9" t="s">
        <v>77</v>
      </c>
      <c r="C64" s="9" t="n">
        <v>209</v>
      </c>
      <c r="D64" s="10" t="n">
        <v>7.1</v>
      </c>
      <c r="E64" s="11" t="n">
        <f aca="false">D64*$B$4</f>
        <v>578.508</v>
      </c>
      <c r="F64" s="12" t="n">
        <v>67.18</v>
      </c>
      <c r="G64" s="11" t="n">
        <f aca="false">F64*$B$5</f>
        <v>769.533464</v>
      </c>
      <c r="H64" s="13" t="n">
        <f aca="false">G64-E64</f>
        <v>191.025464</v>
      </c>
      <c r="I64" s="14" t="n">
        <f aca="false">IF(E64=0,"",(G64-E64)/E64)</f>
        <v>0.330203668747883</v>
      </c>
      <c r="J64" s="15" t="str">
        <f aca="false">IF(E64=0,"",IF(G64&gt;E64,"Да","Нет"))</f>
        <v>Да</v>
      </c>
      <c r="K64" s="16" t="s">
        <v>22</v>
      </c>
      <c r="L64" s="16" t="s">
        <v>22</v>
      </c>
    </row>
    <row r="65" customFormat="false" ht="15" hidden="false" customHeight="false" outlineLevel="0" collapsed="false">
      <c r="A65" s="9" t="n">
        <v>57</v>
      </c>
      <c r="B65" s="9" t="s">
        <v>78</v>
      </c>
      <c r="C65" s="9" t="n">
        <v>8</v>
      </c>
      <c r="D65" s="10" t="n">
        <v>7.07</v>
      </c>
      <c r="E65" s="11" t="n">
        <f aca="false">D65*$B$4</f>
        <v>576.0636</v>
      </c>
      <c r="F65" s="12" t="n">
        <v>74.36</v>
      </c>
      <c r="G65" s="11" t="n">
        <f aca="false">F65*$B$5</f>
        <v>851.778928</v>
      </c>
      <c r="H65" s="13" t="n">
        <f aca="false">G65-E65</f>
        <v>275.715328</v>
      </c>
      <c r="I65" s="14" t="n">
        <f aca="false">IF(E65=0,"",(G65-E65)/E65)</f>
        <v>0.478619596863957</v>
      </c>
      <c r="J65" s="15" t="str">
        <f aca="false">IF(E65=0,"",IF(G65&gt;E65,"Да","Нет"))</f>
        <v>Да</v>
      </c>
      <c r="K65" s="16" t="s">
        <v>22</v>
      </c>
      <c r="L65" s="16" t="s">
        <v>22</v>
      </c>
    </row>
    <row r="66" customFormat="false" ht="15" hidden="false" customHeight="false" outlineLevel="0" collapsed="false">
      <c r="A66" s="9" t="n">
        <v>58</v>
      </c>
      <c r="B66" s="9" t="s">
        <v>79</v>
      </c>
      <c r="C66" s="9" t="n">
        <v>56</v>
      </c>
      <c r="D66" s="10" t="n">
        <v>6.9</v>
      </c>
      <c r="E66" s="11" t="n">
        <f aca="false">D66*$B$4</f>
        <v>562.212</v>
      </c>
      <c r="F66" s="12" t="n">
        <v>64.92</v>
      </c>
      <c r="G66" s="11" t="n">
        <f aca="false">F66*$B$5</f>
        <v>743.645616</v>
      </c>
      <c r="H66" s="13" t="n">
        <f aca="false">G66-E66</f>
        <v>181.433616</v>
      </c>
      <c r="I66" s="14" t="n">
        <f aca="false">IF(E66=0,"",(G66-E66)/E66)</f>
        <v>0.322713880173315</v>
      </c>
      <c r="J66" s="15" t="str">
        <f aca="false">IF(E66=0,"",IF(G66&gt;E66,"Да","Нет"))</f>
        <v>Да</v>
      </c>
      <c r="K66" s="16" t="s">
        <v>22</v>
      </c>
      <c r="L66" s="16" t="s">
        <v>22</v>
      </c>
    </row>
    <row r="67" customFormat="false" ht="15" hidden="false" customHeight="false" outlineLevel="0" collapsed="false">
      <c r="A67" s="9" t="n">
        <v>59</v>
      </c>
      <c r="B67" s="9" t="s">
        <v>80</v>
      </c>
      <c r="C67" s="9" t="n">
        <v>376</v>
      </c>
      <c r="D67" s="10" t="n">
        <v>6.86</v>
      </c>
      <c r="E67" s="11" t="n">
        <f aca="false">D67*$B$4</f>
        <v>558.9528</v>
      </c>
      <c r="F67" s="12" t="n">
        <v>66.91</v>
      </c>
      <c r="G67" s="11" t="n">
        <f aca="false">F67*$B$5</f>
        <v>766.440668</v>
      </c>
      <c r="H67" s="13" t="n">
        <f aca="false">G67-E67</f>
        <v>207.487868</v>
      </c>
      <c r="I67" s="14" t="n">
        <f aca="false">IF(E67=0,"",(G67-E67)/E67)</f>
        <v>0.371208209351487</v>
      </c>
      <c r="J67" s="15" t="str">
        <f aca="false">IF(E67=0,"",IF(G67&gt;E67,"Да","Нет"))</f>
        <v>Да</v>
      </c>
      <c r="K67" s="16" t="s">
        <v>22</v>
      </c>
      <c r="L67" s="16" t="s">
        <v>22</v>
      </c>
    </row>
    <row r="68" customFormat="false" ht="15" hidden="false" customHeight="false" outlineLevel="0" collapsed="false">
      <c r="A68" s="9" t="n">
        <v>60</v>
      </c>
      <c r="B68" s="9" t="s">
        <v>81</v>
      </c>
      <c r="C68" s="9" t="n">
        <v>1277</v>
      </c>
      <c r="D68" s="10" t="n">
        <v>6.8</v>
      </c>
      <c r="E68" s="11" t="n">
        <f aca="false">D68*$B$4</f>
        <v>554.064</v>
      </c>
      <c r="F68" s="12" t="n">
        <v>65.33</v>
      </c>
      <c r="G68" s="11" t="n">
        <f aca="false">F68*$B$5</f>
        <v>748.342084</v>
      </c>
      <c r="H68" s="13" t="n">
        <f aca="false">G68-E68</f>
        <v>194.278084</v>
      </c>
      <c r="I68" s="14" t="n">
        <f aca="false">IF(E68=0,"",(G68-E68)/E68)</f>
        <v>0.350641954720032</v>
      </c>
      <c r="J68" s="15" t="str">
        <f aca="false">IF(E68=0,"",IF(G68&gt;E68,"Да","Нет"))</f>
        <v>Да</v>
      </c>
      <c r="K68" s="16" t="s">
        <v>22</v>
      </c>
      <c r="L68" s="16" t="s">
        <v>22</v>
      </c>
    </row>
    <row r="69" customFormat="false" ht="15" hidden="false" customHeight="false" outlineLevel="0" collapsed="false">
      <c r="A69" s="9" t="n">
        <v>61</v>
      </c>
      <c r="B69" s="9" t="s">
        <v>82</v>
      </c>
      <c r="C69" s="9" t="n">
        <v>76</v>
      </c>
      <c r="D69" s="10" t="n">
        <v>6.71</v>
      </c>
      <c r="E69" s="11" t="n">
        <f aca="false">D69*$B$4</f>
        <v>546.7308</v>
      </c>
      <c r="F69" s="12" t="n">
        <v>67.93</v>
      </c>
      <c r="G69" s="11" t="n">
        <f aca="false">F69*$B$5</f>
        <v>778.124564</v>
      </c>
      <c r="H69" s="13" t="n">
        <f aca="false">G69-E69</f>
        <v>231.393764</v>
      </c>
      <c r="I69" s="14" t="n">
        <f aca="false">IF(E69=0,"",(G69-E69)/E69)</f>
        <v>0.423231623314436</v>
      </c>
      <c r="J69" s="15" t="str">
        <f aca="false">IF(E69=0,"",IF(G69&gt;E69,"Да","Нет"))</f>
        <v>Да</v>
      </c>
      <c r="K69" s="16" t="s">
        <v>22</v>
      </c>
      <c r="L69" s="16" t="s">
        <v>22</v>
      </c>
    </row>
    <row r="70" customFormat="false" ht="15" hidden="false" customHeight="false" outlineLevel="0" collapsed="false">
      <c r="A70" s="9" t="n">
        <v>62</v>
      </c>
      <c r="B70" s="9" t="s">
        <v>83</v>
      </c>
      <c r="C70" s="9" t="n">
        <v>867</v>
      </c>
      <c r="D70" s="10" t="n">
        <v>6.57</v>
      </c>
      <c r="E70" s="11" t="n">
        <f aca="false">D70*$B$4</f>
        <v>535.3236</v>
      </c>
      <c r="F70" s="12" t="n">
        <v>61.58</v>
      </c>
      <c r="G70" s="11" t="n">
        <f aca="false">F70*$B$5</f>
        <v>705.386584</v>
      </c>
      <c r="H70" s="13" t="n">
        <f aca="false">G70-E70</f>
        <v>170.062984</v>
      </c>
      <c r="I70" s="14" t="n">
        <f aca="false">IF(E70=0,"",(G70-E70)/E70)</f>
        <v>0.317682583020812</v>
      </c>
      <c r="J70" s="15" t="str">
        <f aca="false">IF(E70=0,"",IF(G70&gt;E70,"Да","Нет"))</f>
        <v>Да</v>
      </c>
      <c r="K70" s="16" t="s">
        <v>22</v>
      </c>
      <c r="L70" s="16" t="s">
        <v>22</v>
      </c>
    </row>
    <row r="71" customFormat="false" ht="15" hidden="false" customHeight="false" outlineLevel="0" collapsed="false">
      <c r="A71" s="9" t="n">
        <v>63</v>
      </c>
      <c r="B71" s="9" t="s">
        <v>84</v>
      </c>
      <c r="C71" s="9" t="n">
        <v>1140</v>
      </c>
      <c r="D71" s="10" t="n">
        <v>6.56</v>
      </c>
      <c r="E71" s="11" t="n">
        <f aca="false">D71*$B$4</f>
        <v>534.5088</v>
      </c>
      <c r="F71" s="12" t="n">
        <v>61.85</v>
      </c>
      <c r="G71" s="11" t="n">
        <f aca="false">F71*$B$5</f>
        <v>708.47938</v>
      </c>
      <c r="H71" s="13" t="n">
        <f aca="false">G71-E71</f>
        <v>173.97058</v>
      </c>
      <c r="I71" s="14" t="n">
        <f aca="false">IF(E71=0,"",(G71-E71)/E71)</f>
        <v>0.32547748512279</v>
      </c>
      <c r="J71" s="15" t="str">
        <f aca="false">IF(E71=0,"",IF(G71&gt;E71,"Да","Нет"))</f>
        <v>Да</v>
      </c>
      <c r="K71" s="16" t="s">
        <v>22</v>
      </c>
      <c r="L71" s="16" t="s">
        <v>22</v>
      </c>
    </row>
    <row r="72" customFormat="false" ht="15" hidden="false" customHeight="false" outlineLevel="0" collapsed="false">
      <c r="A72" s="9" t="n">
        <v>64</v>
      </c>
      <c r="B72" s="9" t="s">
        <v>85</v>
      </c>
      <c r="C72" s="9" t="n">
        <v>123</v>
      </c>
      <c r="D72" s="10" t="n">
        <v>6.09</v>
      </c>
      <c r="E72" s="11" t="n">
        <f aca="false">D72*$B$4</f>
        <v>496.2132</v>
      </c>
      <c r="F72" s="12" t="n">
        <v>48.25</v>
      </c>
      <c r="G72" s="11" t="n">
        <f aca="false">F72*$B$5</f>
        <v>552.6941</v>
      </c>
      <c r="H72" s="13" t="n">
        <f aca="false">G72-E72</f>
        <v>56.4809</v>
      </c>
      <c r="I72" s="14" t="n">
        <f aca="false">IF(E72=0,"",(G72-E72)/E72)</f>
        <v>0.113823856358517</v>
      </c>
      <c r="J72" s="15" t="str">
        <f aca="false">IF(E72=0,"",IF(G72&gt;E72,"Да","Нет"))</f>
        <v>Да</v>
      </c>
      <c r="K72" s="16" t="s">
        <v>22</v>
      </c>
      <c r="L72" s="16" t="s">
        <v>22</v>
      </c>
    </row>
    <row r="73" customFormat="false" ht="15" hidden="false" customHeight="false" outlineLevel="0" collapsed="false">
      <c r="A73" s="9" t="n">
        <v>65</v>
      </c>
      <c r="B73" s="9" t="s">
        <v>86</v>
      </c>
      <c r="C73" s="9" t="n">
        <v>103</v>
      </c>
      <c r="D73" s="10" t="n">
        <v>6.05</v>
      </c>
      <c r="E73" s="11" t="n">
        <f aca="false">D73*$B$4</f>
        <v>492.954</v>
      </c>
      <c r="F73" s="12" t="n">
        <v>59.32</v>
      </c>
      <c r="G73" s="11" t="n">
        <f aca="false">F73*$B$5</f>
        <v>679.498736</v>
      </c>
      <c r="H73" s="13" t="n">
        <f aca="false">G73-E73</f>
        <v>186.544736</v>
      </c>
      <c r="I73" s="14" t="n">
        <f aca="false">IF(E73=0,"",(G73-E73)/E73)</f>
        <v>0.378422197608702</v>
      </c>
      <c r="J73" s="15" t="str">
        <f aca="false">IF(E73=0,"",IF(G73&gt;E73,"Да","Нет"))</f>
        <v>Да</v>
      </c>
      <c r="K73" s="16" t="s">
        <v>22</v>
      </c>
      <c r="L73" s="16" t="s">
        <v>22</v>
      </c>
    </row>
    <row r="74" customFormat="false" ht="15" hidden="false" customHeight="false" outlineLevel="0" collapsed="false">
      <c r="A74" s="9" t="n">
        <v>66</v>
      </c>
      <c r="B74" s="9" t="s">
        <v>87</v>
      </c>
      <c r="C74" s="9" t="n">
        <v>278</v>
      </c>
      <c r="D74" s="10" t="n">
        <v>5.89</v>
      </c>
      <c r="E74" s="11" t="n">
        <f aca="false">D74*$B$4</f>
        <v>479.9172</v>
      </c>
      <c r="F74" s="12" t="n">
        <v>52.96</v>
      </c>
      <c r="G74" s="11" t="n">
        <f aca="false">F74*$B$5</f>
        <v>606.646208</v>
      </c>
      <c r="H74" s="13" t="n">
        <f aca="false">G74-E74</f>
        <v>126.729008</v>
      </c>
      <c r="I74" s="14" t="n">
        <f aca="false">IF(E74=0,"",(G74-E74)/E74)</f>
        <v>0.264064317761481</v>
      </c>
      <c r="J74" s="15" t="str">
        <f aca="false">IF(E74=0,"",IF(G74&gt;E74,"Да","Нет"))</f>
        <v>Да</v>
      </c>
      <c r="K74" s="16" t="s">
        <v>22</v>
      </c>
      <c r="L74" s="16" t="s">
        <v>22</v>
      </c>
    </row>
    <row r="75" customFormat="false" ht="15" hidden="false" customHeight="false" outlineLevel="0" collapsed="false">
      <c r="A75" s="9" t="n">
        <v>67</v>
      </c>
      <c r="B75" s="9" t="s">
        <v>88</v>
      </c>
      <c r="C75" s="9" t="n">
        <v>135</v>
      </c>
      <c r="D75" s="10" t="n">
        <v>5.86</v>
      </c>
      <c r="E75" s="11" t="n">
        <f aca="false">D75*$B$4</f>
        <v>477.4728</v>
      </c>
      <c r="F75" s="12" t="n">
        <v>52.42</v>
      </c>
      <c r="G75" s="11" t="n">
        <f aca="false">F75*$B$5</f>
        <v>600.460616</v>
      </c>
      <c r="H75" s="13" t="n">
        <f aca="false">G75-E75</f>
        <v>122.987816</v>
      </c>
      <c r="I75" s="14" t="n">
        <f aca="false">IF(E75=0,"",(G75-E75)/E75)</f>
        <v>0.257580779470579</v>
      </c>
      <c r="J75" s="15" t="str">
        <f aca="false">IF(E75=0,"",IF(G75&gt;E75,"Да","Нет"))</f>
        <v>Да</v>
      </c>
      <c r="K75" s="16" t="s">
        <v>22</v>
      </c>
      <c r="L75" s="16" t="s">
        <v>22</v>
      </c>
    </row>
    <row r="76" customFormat="false" ht="15" hidden="false" customHeight="false" outlineLevel="0" collapsed="false">
      <c r="A76" s="9" t="n">
        <v>68</v>
      </c>
      <c r="B76" s="9" t="s">
        <v>89</v>
      </c>
      <c r="C76" s="9" t="n">
        <v>108</v>
      </c>
      <c r="D76" s="10" t="n">
        <v>5.83</v>
      </c>
      <c r="E76" s="11" t="n">
        <f aca="false">D76*$B$4</f>
        <v>475.0284</v>
      </c>
      <c r="F76" s="12" t="n">
        <v>60.55</v>
      </c>
      <c r="G76" s="11" t="n">
        <f aca="false">F76*$B$5</f>
        <v>693.58814</v>
      </c>
      <c r="H76" s="13" t="n">
        <f aca="false">G76-E76</f>
        <v>218.55974</v>
      </c>
      <c r="I76" s="14" t="n">
        <f aca="false">IF(E76=0,"",(G76-E76)/E76)</f>
        <v>0.460098259388281</v>
      </c>
      <c r="J76" s="15" t="str">
        <f aca="false">IF(E76=0,"",IF(G76&gt;E76,"Да","Нет"))</f>
        <v>Да</v>
      </c>
      <c r="K76" s="16" t="s">
        <v>22</v>
      </c>
      <c r="L76" s="16" t="s">
        <v>22</v>
      </c>
    </row>
    <row r="77" customFormat="false" ht="15" hidden="false" customHeight="false" outlineLevel="0" collapsed="false">
      <c r="A77" s="9" t="n">
        <v>69</v>
      </c>
      <c r="B77" s="9" t="s">
        <v>90</v>
      </c>
      <c r="C77" s="9" t="n">
        <v>96</v>
      </c>
      <c r="D77" s="10" t="n">
        <v>5.76</v>
      </c>
      <c r="E77" s="11" t="n">
        <f aca="false">D77*$B$4</f>
        <v>469.3248</v>
      </c>
      <c r="F77" s="12" t="n">
        <v>59.87</v>
      </c>
      <c r="G77" s="11" t="n">
        <f aca="false">F77*$B$5</f>
        <v>685.798876</v>
      </c>
      <c r="H77" s="13" t="n">
        <f aca="false">G77-E77</f>
        <v>216.474076</v>
      </c>
      <c r="I77" s="14" t="n">
        <f aca="false">IF(E77=0,"",(G77-E77)/E77)</f>
        <v>0.46124576412753</v>
      </c>
      <c r="J77" s="15" t="str">
        <f aca="false">IF(E77=0,"",IF(G77&gt;E77,"Да","Нет"))</f>
        <v>Да</v>
      </c>
      <c r="K77" s="16" t="s">
        <v>22</v>
      </c>
      <c r="L77" s="16" t="s">
        <v>22</v>
      </c>
    </row>
    <row r="78" customFormat="false" ht="15" hidden="false" customHeight="false" outlineLevel="0" collapsed="false">
      <c r="A78" s="9" t="n">
        <v>70</v>
      </c>
      <c r="B78" s="9" t="s">
        <v>91</v>
      </c>
      <c r="C78" s="9" t="n">
        <v>174</v>
      </c>
      <c r="D78" s="10" t="n">
        <v>5.67</v>
      </c>
      <c r="E78" s="11" t="n">
        <f aca="false">D78*$B$4</f>
        <v>461.9916</v>
      </c>
      <c r="F78" s="12" t="n">
        <v>54.19</v>
      </c>
      <c r="G78" s="11" t="n">
        <f aca="false">F78*$B$5</f>
        <v>620.735612</v>
      </c>
      <c r="H78" s="13" t="n">
        <f aca="false">G78-E78</f>
        <v>158.744012</v>
      </c>
      <c r="I78" s="14" t="n">
        <f aca="false">IF(E78=0,"",(G78-E78)/E78)</f>
        <v>0.34360800499403</v>
      </c>
      <c r="J78" s="15" t="str">
        <f aca="false">IF(E78=0,"",IF(G78&gt;E78,"Да","Нет"))</f>
        <v>Да</v>
      </c>
      <c r="K78" s="16" t="s">
        <v>22</v>
      </c>
      <c r="L78" s="16" t="s">
        <v>22</v>
      </c>
    </row>
    <row r="79" customFormat="false" ht="15" hidden="false" customHeight="false" outlineLevel="0" collapsed="false">
      <c r="A79" s="9" t="n">
        <v>71</v>
      </c>
      <c r="B79" s="9" t="s">
        <v>92</v>
      </c>
      <c r="C79" s="9" t="n">
        <v>28</v>
      </c>
      <c r="D79" s="10" t="n">
        <v>5.43</v>
      </c>
      <c r="E79" s="11" t="n">
        <f aca="false">D79*$B$4</f>
        <v>442.4364</v>
      </c>
      <c r="F79" s="12" t="n">
        <v>50.5</v>
      </c>
      <c r="G79" s="11" t="n">
        <f aca="false">F79*$B$5</f>
        <v>578.4674</v>
      </c>
      <c r="H79" s="13" t="n">
        <f aca="false">G79-E79</f>
        <v>136.031</v>
      </c>
      <c r="I79" s="14" t="n">
        <f aca="false">IF(E79=0,"",(G79-E79)/E79)</f>
        <v>0.307458879965573</v>
      </c>
      <c r="J79" s="15" t="str">
        <f aca="false">IF(E79=0,"",IF(G79&gt;E79,"Да","Нет"))</f>
        <v>Да</v>
      </c>
      <c r="K79" s="16" t="s">
        <v>22</v>
      </c>
      <c r="L79" s="16" t="s">
        <v>22</v>
      </c>
    </row>
    <row r="80" customFormat="false" ht="15" hidden="false" customHeight="false" outlineLevel="0" collapsed="false">
      <c r="A80" s="9" t="n">
        <v>72</v>
      </c>
      <c r="B80" s="9" t="s">
        <v>93</v>
      </c>
      <c r="C80" s="9" t="n">
        <v>871</v>
      </c>
      <c r="D80" s="10" t="n">
        <v>5.39</v>
      </c>
      <c r="E80" s="11" t="n">
        <f aca="false">D80*$B$4</f>
        <v>439.1772</v>
      </c>
      <c r="F80" s="12" t="n">
        <v>52.08</v>
      </c>
      <c r="G80" s="11" t="n">
        <f aca="false">F80*$B$5</f>
        <v>596.565984</v>
      </c>
      <c r="H80" s="13" t="n">
        <f aca="false">G80-E80</f>
        <v>157.388784</v>
      </c>
      <c r="I80" s="14" t="n">
        <f aca="false">IF(E80=0,"",(G80-E80)/E80)</f>
        <v>0.35837193734101</v>
      </c>
      <c r="J80" s="15" t="str">
        <f aca="false">IF(E80=0,"",IF(G80&gt;E80,"Да","Нет"))</f>
        <v>Да</v>
      </c>
      <c r="K80" s="16" t="s">
        <v>22</v>
      </c>
      <c r="L80" s="16" t="s">
        <v>22</v>
      </c>
    </row>
    <row r="81" customFormat="false" ht="15" hidden="false" customHeight="false" outlineLevel="0" collapsed="false">
      <c r="A81" s="9" t="n">
        <v>73</v>
      </c>
      <c r="B81" s="9" t="s">
        <v>94</v>
      </c>
      <c r="C81" s="9" t="n">
        <v>128</v>
      </c>
      <c r="D81" s="10" t="n">
        <v>5.37</v>
      </c>
      <c r="E81" s="11" t="n">
        <f aca="false">D81*$B$4</f>
        <v>437.5476</v>
      </c>
      <c r="F81" s="12" t="n">
        <v>53.99</v>
      </c>
      <c r="G81" s="11" t="n">
        <f aca="false">F81*$B$5</f>
        <v>618.444652</v>
      </c>
      <c r="H81" s="13" t="n">
        <f aca="false">G81-E81</f>
        <v>180.897052</v>
      </c>
      <c r="I81" s="14" t="n">
        <f aca="false">IF(E81=0,"",(G81-E81)/E81)</f>
        <v>0.413433994381411</v>
      </c>
      <c r="J81" s="15" t="str">
        <f aca="false">IF(E81=0,"",IF(G81&gt;E81,"Да","Нет"))</f>
        <v>Да</v>
      </c>
      <c r="K81" s="16" t="s">
        <v>22</v>
      </c>
      <c r="L81" s="16" t="s">
        <v>22</v>
      </c>
    </row>
    <row r="82" customFormat="false" ht="15" hidden="false" customHeight="false" outlineLevel="0" collapsed="false">
      <c r="A82" s="9" t="n">
        <v>74</v>
      </c>
      <c r="B82" s="9" t="s">
        <v>95</v>
      </c>
      <c r="C82" s="9" t="n">
        <v>488</v>
      </c>
      <c r="D82" s="10" t="n">
        <v>5.36</v>
      </c>
      <c r="E82" s="11" t="n">
        <f aca="false">D82*$B$4</f>
        <v>436.7328</v>
      </c>
      <c r="F82" s="12" t="n">
        <v>50.09</v>
      </c>
      <c r="G82" s="11" t="n">
        <f aca="false">F82*$B$5</f>
        <v>573.770932</v>
      </c>
      <c r="H82" s="13" t="n">
        <f aca="false">G82-E82</f>
        <v>137.038132</v>
      </c>
      <c r="I82" s="14" t="n">
        <f aca="false">IF(E82=0,"",(G82-E82)/E82)</f>
        <v>0.313780261065805</v>
      </c>
      <c r="J82" s="15" t="str">
        <f aca="false">IF(E82=0,"",IF(G82&gt;E82,"Да","Нет"))</f>
        <v>Да</v>
      </c>
      <c r="K82" s="16" t="s">
        <v>22</v>
      </c>
      <c r="L82" s="16" t="s">
        <v>22</v>
      </c>
    </row>
    <row r="83" customFormat="false" ht="15" hidden="false" customHeight="false" outlineLevel="0" collapsed="false">
      <c r="A83" s="9" t="n">
        <v>75</v>
      </c>
      <c r="B83" s="9" t="s">
        <v>96</v>
      </c>
      <c r="C83" s="9" t="n">
        <v>28</v>
      </c>
      <c r="D83" s="10" t="n">
        <v>5.21</v>
      </c>
      <c r="E83" s="11" t="n">
        <f aca="false">D83*$B$4</f>
        <v>424.5108</v>
      </c>
      <c r="F83" s="12" t="n">
        <v>50.5</v>
      </c>
      <c r="G83" s="11" t="n">
        <f aca="false">F83*$B$5</f>
        <v>578.4674</v>
      </c>
      <c r="H83" s="13" t="n">
        <f aca="false">G83-E83</f>
        <v>153.9566</v>
      </c>
      <c r="I83" s="14" t="n">
        <f aca="false">IF(E83=0,"",(G83-E83)/E83)</f>
        <v>0.362668276048572</v>
      </c>
      <c r="J83" s="15" t="str">
        <f aca="false">IF(E83=0,"",IF(G83&gt;E83,"Да","Нет"))</f>
        <v>Да</v>
      </c>
      <c r="K83" s="16" t="s">
        <v>22</v>
      </c>
      <c r="L83" s="16" t="s">
        <v>22</v>
      </c>
    </row>
    <row r="84" customFormat="false" ht="15" hidden="false" customHeight="false" outlineLevel="0" collapsed="false">
      <c r="A84" s="9" t="n">
        <v>76</v>
      </c>
      <c r="B84" s="9" t="s">
        <v>97</v>
      </c>
      <c r="C84" s="9" t="n">
        <v>120</v>
      </c>
      <c r="D84" s="10" t="n">
        <v>5.07</v>
      </c>
      <c r="E84" s="11" t="n">
        <f aca="false">D84*$B$4</f>
        <v>413.1036</v>
      </c>
      <c r="F84" s="12" t="n">
        <v>51.19</v>
      </c>
      <c r="G84" s="11" t="n">
        <f aca="false">F84*$B$5</f>
        <v>586.371212</v>
      </c>
      <c r="H84" s="13" t="n">
        <f aca="false">G84-E84</f>
        <v>173.267612</v>
      </c>
      <c r="I84" s="14" t="n">
        <f aca="false">IF(E84=0,"",(G84-E84)/E84)</f>
        <v>0.419428956804056</v>
      </c>
      <c r="J84" s="15" t="str">
        <f aca="false">IF(E84=0,"",IF(G84&gt;E84,"Да","Нет"))</f>
        <v>Да</v>
      </c>
      <c r="K84" s="16" t="s">
        <v>22</v>
      </c>
      <c r="L84" s="16" t="s">
        <v>22</v>
      </c>
    </row>
    <row r="85" customFormat="false" ht="15" hidden="false" customHeight="false" outlineLevel="0" collapsed="false">
      <c r="A85" s="9" t="n">
        <v>77</v>
      </c>
      <c r="B85" s="9" t="s">
        <v>98</v>
      </c>
      <c r="C85" s="9" t="n">
        <v>494</v>
      </c>
      <c r="D85" s="10" t="n">
        <v>5.04</v>
      </c>
      <c r="E85" s="11" t="n">
        <f aca="false">D85*$B$4</f>
        <v>410.6592</v>
      </c>
      <c r="F85" s="12" t="n">
        <v>49.48</v>
      </c>
      <c r="G85" s="11" t="n">
        <f aca="false">F85*$B$5</f>
        <v>566.783504</v>
      </c>
      <c r="H85" s="13" t="n">
        <f aca="false">G85-E85</f>
        <v>156.124304</v>
      </c>
      <c r="I85" s="14" t="n">
        <f aca="false">IF(E85=0,"",(G85-E85)/E85)</f>
        <v>0.380179730540555</v>
      </c>
      <c r="J85" s="15" t="str">
        <f aca="false">IF(E85=0,"",IF(G85&gt;E85,"Да","Нет"))</f>
        <v>Да</v>
      </c>
      <c r="K85" s="16" t="s">
        <v>22</v>
      </c>
      <c r="L85" s="16" t="s">
        <v>22</v>
      </c>
    </row>
    <row r="86" customFormat="false" ht="15" hidden="false" customHeight="false" outlineLevel="0" collapsed="false">
      <c r="A86" s="9" t="n">
        <v>78</v>
      </c>
      <c r="B86" s="9" t="s">
        <v>99</v>
      </c>
      <c r="C86" s="9" t="n">
        <v>26</v>
      </c>
      <c r="D86" s="10" t="n">
        <v>4.89</v>
      </c>
      <c r="E86" s="11" t="n">
        <f aca="false">D86*$B$4</f>
        <v>398.4372</v>
      </c>
      <c r="F86" s="12" t="n">
        <v>42.51</v>
      </c>
      <c r="G86" s="11" t="n">
        <f aca="false">F86*$B$5</f>
        <v>486.943548</v>
      </c>
      <c r="H86" s="13" t="n">
        <f aca="false">G86-E86</f>
        <v>88.506348</v>
      </c>
      <c r="I86" s="14" t="n">
        <f aca="false">IF(E86=0,"",(G86-E86)/E86)</f>
        <v>0.222133746547762</v>
      </c>
      <c r="J86" s="15" t="str">
        <f aca="false">IF(E86=0,"",IF(G86&gt;E86,"Да","Нет"))</f>
        <v>Да</v>
      </c>
      <c r="K86" s="16" t="s">
        <v>22</v>
      </c>
      <c r="L86" s="16" t="s">
        <v>22</v>
      </c>
    </row>
    <row r="87" customFormat="false" ht="15" hidden="false" customHeight="false" outlineLevel="0" collapsed="false">
      <c r="A87" s="9" t="n">
        <v>79</v>
      </c>
      <c r="B87" s="9" t="s">
        <v>100</v>
      </c>
      <c r="C87" s="9" t="n">
        <v>68</v>
      </c>
      <c r="D87" s="10" t="n">
        <v>4.88</v>
      </c>
      <c r="E87" s="11" t="n">
        <f aca="false">D87*$B$4</f>
        <v>397.6224</v>
      </c>
      <c r="F87" s="12" t="n">
        <v>50.09</v>
      </c>
      <c r="G87" s="11" t="n">
        <f aca="false">F87*$B$5</f>
        <v>573.770932</v>
      </c>
      <c r="H87" s="13" t="n">
        <f aca="false">G87-E87</f>
        <v>176.148532</v>
      </c>
      <c r="I87" s="14" t="n">
        <f aca="false">IF(E87=0,"",(G87-E87)/E87)</f>
        <v>0.443004549039491</v>
      </c>
      <c r="J87" s="15" t="str">
        <f aca="false">IF(E87=0,"",IF(G87&gt;E87,"Да","Нет"))</f>
        <v>Да</v>
      </c>
      <c r="K87" s="16" t="s">
        <v>22</v>
      </c>
      <c r="L87" s="16" t="s">
        <v>22</v>
      </c>
    </row>
    <row r="88" customFormat="false" ht="15" hidden="false" customHeight="false" outlineLevel="0" collapsed="false">
      <c r="A88" s="9" t="n">
        <v>80</v>
      </c>
      <c r="B88" s="9" t="s">
        <v>101</v>
      </c>
      <c r="C88" s="9" t="n">
        <v>579</v>
      </c>
      <c r="D88" s="10" t="n">
        <v>4.8</v>
      </c>
      <c r="E88" s="11" t="n">
        <f aca="false">D88*$B$4</f>
        <v>391.104</v>
      </c>
      <c r="F88" s="12" t="n">
        <v>44.28</v>
      </c>
      <c r="G88" s="11" t="n">
        <f aca="false">F88*$B$5</f>
        <v>507.218544</v>
      </c>
      <c r="H88" s="13" t="n">
        <f aca="false">G88-E88</f>
        <v>116.114544</v>
      </c>
      <c r="I88" s="14" t="n">
        <f aca="false">IF(E88=0,"",(G88-E88)/E88)</f>
        <v>0.296889175257732</v>
      </c>
      <c r="J88" s="15" t="str">
        <f aca="false">IF(E88=0,"",IF(G88&gt;E88,"Да","Нет"))</f>
        <v>Да</v>
      </c>
      <c r="K88" s="16" t="s">
        <v>22</v>
      </c>
      <c r="L88" s="16" t="s">
        <v>22</v>
      </c>
    </row>
    <row r="89" customFormat="false" ht="15" hidden="false" customHeight="false" outlineLevel="0" collapsed="false">
      <c r="A89" s="9" t="n">
        <v>81</v>
      </c>
      <c r="B89" s="9" t="s">
        <v>102</v>
      </c>
      <c r="C89" s="9" t="n">
        <v>81</v>
      </c>
      <c r="D89" s="10" t="n">
        <v>4.78</v>
      </c>
      <c r="E89" s="11" t="n">
        <f aca="false">D89*$B$4</f>
        <v>389.4744</v>
      </c>
      <c r="F89" s="12" t="n">
        <v>49.14</v>
      </c>
      <c r="G89" s="11" t="n">
        <f aca="false">F89*$B$5</f>
        <v>562.888872</v>
      </c>
      <c r="H89" s="13" t="n">
        <f aca="false">G89-E89</f>
        <v>173.414472</v>
      </c>
      <c r="I89" s="14" t="n">
        <f aca="false">IF(E89=0,"",(G89-E89)/E89)</f>
        <v>0.445252555752059</v>
      </c>
      <c r="J89" s="15" t="str">
        <f aca="false">IF(E89=0,"",IF(G89&gt;E89,"Да","Нет"))</f>
        <v>Да</v>
      </c>
      <c r="K89" s="16" t="s">
        <v>22</v>
      </c>
      <c r="L89" s="16" t="s">
        <v>22</v>
      </c>
    </row>
    <row r="90" customFormat="false" ht="15" hidden="false" customHeight="false" outlineLevel="0" collapsed="false">
      <c r="A90" s="9" t="n">
        <v>82</v>
      </c>
      <c r="B90" s="9" t="s">
        <v>103</v>
      </c>
      <c r="C90" s="9" t="n">
        <v>147</v>
      </c>
      <c r="D90" s="10" t="n">
        <v>4.67</v>
      </c>
      <c r="E90" s="11" t="n">
        <f aca="false">D90*$B$4</f>
        <v>380.5116</v>
      </c>
      <c r="F90" s="12" t="n">
        <v>43.05</v>
      </c>
      <c r="G90" s="11" t="n">
        <f aca="false">F90*$B$5</f>
        <v>493.12914</v>
      </c>
      <c r="H90" s="13" t="n">
        <f aca="false">G90-E90</f>
        <v>112.61754</v>
      </c>
      <c r="I90" s="14" t="n">
        <f aca="false">IF(E90=0,"",(G90-E90)/E90)</f>
        <v>0.295963487052694</v>
      </c>
      <c r="J90" s="15" t="str">
        <f aca="false">IF(E90=0,"",IF(G90&gt;E90,"Да","Нет"))</f>
        <v>Да</v>
      </c>
      <c r="K90" s="16" t="s">
        <v>22</v>
      </c>
      <c r="L90" s="16" t="s">
        <v>22</v>
      </c>
    </row>
    <row r="91" customFormat="false" ht="15" hidden="false" customHeight="false" outlineLevel="0" collapsed="false">
      <c r="A91" s="9" t="n">
        <v>83</v>
      </c>
      <c r="B91" s="9" t="s">
        <v>104</v>
      </c>
      <c r="C91" s="9" t="n">
        <v>54</v>
      </c>
      <c r="D91" s="10" t="n">
        <v>4.66</v>
      </c>
      <c r="E91" s="11" t="n">
        <f aca="false">D91*$B$4</f>
        <v>379.6968</v>
      </c>
      <c r="F91" s="12" t="n">
        <v>45.86</v>
      </c>
      <c r="G91" s="11" t="n">
        <f aca="false">F91*$B$5</f>
        <v>525.317128</v>
      </c>
      <c r="H91" s="13" t="n">
        <f aca="false">G91-E91</f>
        <v>145.620328</v>
      </c>
      <c r="I91" s="14" t="n">
        <f aca="false">IF(E91=0,"",(G91-E91)/E91)</f>
        <v>0.383517395985428</v>
      </c>
      <c r="J91" s="15" t="str">
        <f aca="false">IF(E91=0,"",IF(G91&gt;E91,"Да","Нет"))</f>
        <v>Да</v>
      </c>
      <c r="K91" s="16" t="s">
        <v>22</v>
      </c>
      <c r="L91" s="16" t="s">
        <v>22</v>
      </c>
    </row>
    <row r="92" customFormat="false" ht="15" hidden="false" customHeight="false" outlineLevel="0" collapsed="false">
      <c r="A92" s="9" t="n">
        <v>84</v>
      </c>
      <c r="B92" s="9" t="s">
        <v>105</v>
      </c>
      <c r="C92" s="9" t="n">
        <v>100</v>
      </c>
      <c r="D92" s="10" t="n">
        <v>4.63</v>
      </c>
      <c r="E92" s="11" t="n">
        <f aca="false">D92*$B$4</f>
        <v>377.2524</v>
      </c>
      <c r="F92" s="12" t="n">
        <v>48.79</v>
      </c>
      <c r="G92" s="11" t="n">
        <f aca="false">F92*$B$5</f>
        <v>558.879692</v>
      </c>
      <c r="H92" s="13" t="n">
        <f aca="false">G92-E92</f>
        <v>181.627292</v>
      </c>
      <c r="I92" s="14" t="n">
        <f aca="false">IF(E92=0,"",(G92-E92)/E92)</f>
        <v>0.481447678000193</v>
      </c>
      <c r="J92" s="15" t="str">
        <f aca="false">IF(E92=0,"",IF(G92&gt;E92,"Да","Нет"))</f>
        <v>Да</v>
      </c>
      <c r="K92" s="16" t="s">
        <v>22</v>
      </c>
      <c r="L92" s="16" t="s">
        <v>22</v>
      </c>
    </row>
    <row r="93" customFormat="false" ht="15" hidden="false" customHeight="false" outlineLevel="0" collapsed="false">
      <c r="A93" s="9" t="n">
        <v>85</v>
      </c>
      <c r="B93" s="9" t="s">
        <v>106</v>
      </c>
      <c r="C93" s="9" t="n">
        <v>101</v>
      </c>
      <c r="D93" s="10" t="n">
        <v>4.56</v>
      </c>
      <c r="E93" s="11" t="n">
        <f aca="false">D93*$B$4</f>
        <v>371.5488</v>
      </c>
      <c r="F93" s="12" t="n">
        <v>41.21</v>
      </c>
      <c r="G93" s="11" t="n">
        <f aca="false">F93*$B$5</f>
        <v>472.052308</v>
      </c>
      <c r="H93" s="13" t="n">
        <f aca="false">G93-E93</f>
        <v>100.503508</v>
      </c>
      <c r="I93" s="14" t="n">
        <f aca="false">IF(E93=0,"",(G93-E93)/E93)</f>
        <v>0.270498809308495</v>
      </c>
      <c r="J93" s="15" t="str">
        <f aca="false">IF(E93=0,"",IF(G93&gt;E93,"Да","Нет"))</f>
        <v>Да</v>
      </c>
      <c r="K93" s="16" t="s">
        <v>22</v>
      </c>
      <c r="L93" s="16" t="s">
        <v>22</v>
      </c>
    </row>
    <row r="94" customFormat="false" ht="15" hidden="false" customHeight="false" outlineLevel="0" collapsed="false">
      <c r="A94" s="9" t="n">
        <v>86</v>
      </c>
      <c r="B94" s="9" t="s">
        <v>107</v>
      </c>
      <c r="C94" s="9" t="n">
        <v>110</v>
      </c>
      <c r="D94" s="10" t="n">
        <v>4.45</v>
      </c>
      <c r="E94" s="11" t="n">
        <f aca="false">D94*$B$4</f>
        <v>362.586</v>
      </c>
      <c r="F94" s="12" t="n">
        <v>38.75</v>
      </c>
      <c r="G94" s="11" t="n">
        <f aca="false">F94*$B$5</f>
        <v>443.8735</v>
      </c>
      <c r="H94" s="13" t="n">
        <f aca="false">G94-E94</f>
        <v>81.2875</v>
      </c>
      <c r="I94" s="14" t="n">
        <f aca="false">IF(E94=0,"",(G94-E94)/E94)</f>
        <v>0.224188192594309</v>
      </c>
      <c r="J94" s="15" t="str">
        <f aca="false">IF(E94=0,"",IF(G94&gt;E94,"Да","Нет"))</f>
        <v>Да</v>
      </c>
      <c r="K94" s="16" t="s">
        <v>22</v>
      </c>
      <c r="L94" s="16" t="s">
        <v>22</v>
      </c>
    </row>
    <row r="95" customFormat="false" ht="15" hidden="false" customHeight="false" outlineLevel="0" collapsed="false">
      <c r="A95" s="9" t="n">
        <v>87</v>
      </c>
      <c r="B95" s="9" t="s">
        <v>108</v>
      </c>
      <c r="C95" s="9" t="n">
        <v>42</v>
      </c>
      <c r="D95" s="10" t="n">
        <v>4.45</v>
      </c>
      <c r="E95" s="11" t="n">
        <f aca="false">D95*$B$4</f>
        <v>362.586</v>
      </c>
      <c r="F95" s="12" t="n">
        <v>38.95</v>
      </c>
      <c r="G95" s="11" t="n">
        <f aca="false">F95*$B$5</f>
        <v>446.16446</v>
      </c>
      <c r="H95" s="13" t="n">
        <f aca="false">G95-E95</f>
        <v>83.5784600000001</v>
      </c>
      <c r="I95" s="14" t="n">
        <f aca="false">IF(E95=0,"",(G95-E95)/E95)</f>
        <v>0.230506583265763</v>
      </c>
      <c r="J95" s="15" t="str">
        <f aca="false">IF(E95=0,"",IF(G95&gt;E95,"Да","Нет"))</f>
        <v>Да</v>
      </c>
      <c r="K95" s="16" t="s">
        <v>22</v>
      </c>
      <c r="L95" s="16" t="s">
        <v>22</v>
      </c>
    </row>
    <row r="96" customFormat="false" ht="15" hidden="false" customHeight="false" outlineLevel="0" collapsed="false">
      <c r="A96" s="9" t="n">
        <v>88</v>
      </c>
      <c r="B96" s="9" t="s">
        <v>109</v>
      </c>
      <c r="C96" s="9" t="n">
        <v>2351</v>
      </c>
      <c r="D96" s="10" t="n">
        <v>4.39</v>
      </c>
      <c r="E96" s="11" t="n">
        <f aca="false">D96*$B$4</f>
        <v>357.6972</v>
      </c>
      <c r="F96" s="12" t="n">
        <v>42.17</v>
      </c>
      <c r="G96" s="11" t="n">
        <f aca="false">F96*$B$5</f>
        <v>483.048916</v>
      </c>
      <c r="H96" s="13" t="n">
        <f aca="false">G96-E96</f>
        <v>125.351716</v>
      </c>
      <c r="I96" s="14" t="n">
        <f aca="false">IF(E96=0,"",(G96-E96)/E96)</f>
        <v>0.350440864507746</v>
      </c>
      <c r="J96" s="15" t="str">
        <f aca="false">IF(E96=0,"",IF(G96&gt;E96,"Да","Нет"))</f>
        <v>Да</v>
      </c>
      <c r="K96" s="16" t="s">
        <v>22</v>
      </c>
      <c r="L96" s="16" t="s">
        <v>22</v>
      </c>
    </row>
    <row r="97" customFormat="false" ht="15" hidden="false" customHeight="false" outlineLevel="0" collapsed="false">
      <c r="A97" s="9" t="n">
        <v>89</v>
      </c>
      <c r="B97" s="9" t="s">
        <v>110</v>
      </c>
      <c r="C97" s="9" t="n">
        <v>76</v>
      </c>
      <c r="D97" s="10" t="n">
        <v>4.38</v>
      </c>
      <c r="E97" s="11" t="n">
        <f aca="false">D97*$B$4</f>
        <v>356.8824</v>
      </c>
      <c r="F97" s="12" t="n">
        <v>40.93</v>
      </c>
      <c r="G97" s="11" t="n">
        <f aca="false">F97*$B$5</f>
        <v>468.844964</v>
      </c>
      <c r="H97" s="13" t="n">
        <f aca="false">G97-E97</f>
        <v>111.962564</v>
      </c>
      <c r="I97" s="14" t="n">
        <f aca="false">IF(E97=0,"",(G97-E97)/E97)</f>
        <v>0.313723971818168</v>
      </c>
      <c r="J97" s="15" t="str">
        <f aca="false">IF(E97=0,"",IF(G97&gt;E97,"Да","Нет"))</f>
        <v>Да</v>
      </c>
      <c r="K97" s="16" t="s">
        <v>22</v>
      </c>
      <c r="L97" s="16" t="s">
        <v>22</v>
      </c>
    </row>
    <row r="98" customFormat="false" ht="15" hidden="false" customHeight="false" outlineLevel="0" collapsed="false">
      <c r="A98" s="9" t="n">
        <v>90</v>
      </c>
      <c r="B98" s="9" t="s">
        <v>111</v>
      </c>
      <c r="C98" s="9" t="n">
        <v>58</v>
      </c>
      <c r="D98" s="10" t="n">
        <v>4.09</v>
      </c>
      <c r="E98" s="11" t="n">
        <f aca="false">D98*$B$4</f>
        <v>333.2532</v>
      </c>
      <c r="F98" s="12" t="n">
        <v>40.66</v>
      </c>
      <c r="G98" s="11" t="n">
        <f aca="false">F98*$B$5</f>
        <v>465.752168</v>
      </c>
      <c r="H98" s="13" t="n">
        <f aca="false">G98-E98</f>
        <v>132.498968</v>
      </c>
      <c r="I98" s="14" t="n">
        <f aca="false">IF(E98=0,"",(G98-E98)/E98)</f>
        <v>0.39759248523345</v>
      </c>
      <c r="J98" s="15" t="str">
        <f aca="false">IF(E98=0,"",IF(G98&gt;E98,"Да","Нет"))</f>
        <v>Да</v>
      </c>
      <c r="K98" s="16" t="s">
        <v>22</v>
      </c>
      <c r="L98" s="16" t="s">
        <v>22</v>
      </c>
    </row>
    <row r="99" customFormat="false" ht="15" hidden="false" customHeight="false" outlineLevel="0" collapsed="false">
      <c r="A99" s="9" t="n">
        <v>91</v>
      </c>
      <c r="B99" s="9" t="s">
        <v>112</v>
      </c>
      <c r="C99" s="9" t="n">
        <v>119</v>
      </c>
      <c r="D99" s="10" t="n">
        <v>4.08</v>
      </c>
      <c r="E99" s="11" t="n">
        <f aca="false">D99*$B$4</f>
        <v>332.4384</v>
      </c>
      <c r="F99" s="12" t="n">
        <v>37.31</v>
      </c>
      <c r="G99" s="11" t="n">
        <f aca="false">F99*$B$5</f>
        <v>427.378588</v>
      </c>
      <c r="H99" s="13" t="n">
        <f aca="false">G99-E99</f>
        <v>94.940188</v>
      </c>
      <c r="I99" s="14" t="n">
        <f aca="false">IF(E99=0,"",(G99-E99)/E99)</f>
        <v>0.285587308806684</v>
      </c>
      <c r="J99" s="15" t="str">
        <f aca="false">IF(E99=0,"",IF(G99&gt;E99,"Да","Нет"))</f>
        <v>Да</v>
      </c>
      <c r="K99" s="16" t="s">
        <v>22</v>
      </c>
      <c r="L99" s="16" t="s">
        <v>22</v>
      </c>
    </row>
    <row r="100" customFormat="false" ht="15" hidden="false" customHeight="false" outlineLevel="0" collapsed="false">
      <c r="A100" s="9" t="n">
        <v>92</v>
      </c>
      <c r="B100" s="9" t="s">
        <v>113</v>
      </c>
      <c r="C100" s="9" t="n">
        <v>360</v>
      </c>
      <c r="D100" s="10" t="n">
        <v>3.9</v>
      </c>
      <c r="E100" s="11" t="n">
        <f aca="false">D100*$B$4</f>
        <v>317.772</v>
      </c>
      <c r="F100" s="12" t="n">
        <v>34.99</v>
      </c>
      <c r="G100" s="11" t="n">
        <f aca="false">F100*$B$5</f>
        <v>400.803452</v>
      </c>
      <c r="H100" s="13" t="n">
        <f aca="false">G100-E100</f>
        <v>83.0314520000001</v>
      </c>
      <c r="I100" s="14" t="n">
        <f aca="false">IF(E100=0,"",(G100-E100)/E100)</f>
        <v>0.261292536787382</v>
      </c>
      <c r="J100" s="15" t="str">
        <f aca="false">IF(E100=0,"",IF(G100&gt;E100,"Да","Нет"))</f>
        <v>Да</v>
      </c>
      <c r="K100" s="16" t="s">
        <v>22</v>
      </c>
      <c r="L100" s="16" t="s">
        <v>22</v>
      </c>
    </row>
    <row r="101" customFormat="false" ht="15" hidden="false" customHeight="false" outlineLevel="0" collapsed="false">
      <c r="A101" s="9" t="n">
        <v>93</v>
      </c>
      <c r="B101" s="9" t="s">
        <v>114</v>
      </c>
      <c r="C101" s="9" t="n">
        <v>243</v>
      </c>
      <c r="D101" s="10" t="n">
        <v>3.79</v>
      </c>
      <c r="E101" s="11" t="n">
        <f aca="false">D101*$B$4</f>
        <v>308.8092</v>
      </c>
      <c r="F101" s="12" t="n">
        <v>36.22</v>
      </c>
      <c r="G101" s="11" t="n">
        <f aca="false">F101*$B$5</f>
        <v>414.892856</v>
      </c>
      <c r="H101" s="13" t="n">
        <f aca="false">G101-E101</f>
        <v>106.083656</v>
      </c>
      <c r="I101" s="14" t="n">
        <f aca="false">IF(E101=0,"",(G101-E101)/E101)</f>
        <v>0.343524920889662</v>
      </c>
      <c r="J101" s="15" t="str">
        <f aca="false">IF(E101=0,"",IF(G101&gt;E101,"Да","Нет"))</f>
        <v>Да</v>
      </c>
      <c r="K101" s="16" t="s">
        <v>22</v>
      </c>
      <c r="L101" s="16" t="s">
        <v>22</v>
      </c>
    </row>
    <row r="102" customFormat="false" ht="15" hidden="false" customHeight="false" outlineLevel="0" collapsed="false">
      <c r="A102" s="9" t="n">
        <v>94</v>
      </c>
      <c r="B102" s="9" t="s">
        <v>115</v>
      </c>
      <c r="C102" s="9" t="n">
        <v>360</v>
      </c>
      <c r="D102" s="10" t="n">
        <v>3.77</v>
      </c>
      <c r="E102" s="11" t="n">
        <f aca="false">D102*$B$4</f>
        <v>307.1796</v>
      </c>
      <c r="F102" s="12" t="n">
        <v>34.72</v>
      </c>
      <c r="G102" s="11" t="n">
        <f aca="false">F102*$B$5</f>
        <v>397.710656</v>
      </c>
      <c r="H102" s="13" t="n">
        <f aca="false">G102-E102</f>
        <v>90.531056</v>
      </c>
      <c r="I102" s="14" t="n">
        <f aca="false">IF(E102=0,"",(G102-E102)/E102)</f>
        <v>0.294717018968708</v>
      </c>
      <c r="J102" s="15" t="str">
        <f aca="false">IF(E102=0,"",IF(G102&gt;E102,"Да","Нет"))</f>
        <v>Да</v>
      </c>
      <c r="K102" s="16" t="s">
        <v>22</v>
      </c>
      <c r="L102" s="16" t="s">
        <v>22</v>
      </c>
    </row>
    <row r="103" customFormat="false" ht="15" hidden="false" customHeight="false" outlineLevel="0" collapsed="false">
      <c r="A103" s="9" t="n">
        <v>95</v>
      </c>
      <c r="B103" s="9" t="s">
        <v>116</v>
      </c>
      <c r="C103" s="9" t="n">
        <v>130</v>
      </c>
      <c r="D103" s="10" t="n">
        <v>3.7</v>
      </c>
      <c r="E103" s="11" t="n">
        <f aca="false">D103*$B$4</f>
        <v>301.476</v>
      </c>
      <c r="F103" s="12" t="n">
        <v>32.46</v>
      </c>
      <c r="G103" s="11" t="n">
        <f aca="false">F103*$B$5</f>
        <v>371.822808</v>
      </c>
      <c r="H103" s="13" t="n">
        <f aca="false">G103-E103</f>
        <v>70.346808</v>
      </c>
      <c r="I103" s="14" t="n">
        <f aca="false">IF(E103=0,"",(G103-E103)/E103)</f>
        <v>0.233341320702145</v>
      </c>
      <c r="J103" s="15" t="str">
        <f aca="false">IF(E103=0,"",IF(G103&gt;E103,"Да","Нет"))</f>
        <v>Да</v>
      </c>
      <c r="K103" s="16" t="s">
        <v>22</v>
      </c>
      <c r="L103" s="16" t="s">
        <v>22</v>
      </c>
    </row>
    <row r="104" customFormat="false" ht="15" hidden="false" customHeight="false" outlineLevel="0" collapsed="false">
      <c r="A104" s="9" t="n">
        <v>96</v>
      </c>
      <c r="B104" s="9" t="s">
        <v>117</v>
      </c>
      <c r="C104" s="9" t="n">
        <v>49</v>
      </c>
      <c r="D104" s="10" t="n">
        <v>3.61</v>
      </c>
      <c r="E104" s="11" t="n">
        <f aca="false">D104*$B$4</f>
        <v>294.1428</v>
      </c>
      <c r="F104" s="12" t="n">
        <v>35.13</v>
      </c>
      <c r="G104" s="11" t="n">
        <f aca="false">F104*$B$5</f>
        <v>402.407124</v>
      </c>
      <c r="H104" s="13" t="n">
        <f aca="false">G104-E104</f>
        <v>108.264324</v>
      </c>
      <c r="I104" s="14" t="n">
        <f aca="false">IF(E104=0,"",(G104-E104)/E104)</f>
        <v>0.368067224490962</v>
      </c>
      <c r="J104" s="15" t="str">
        <f aca="false">IF(E104=0,"",IF(G104&gt;E104,"Да","Нет"))</f>
        <v>Да</v>
      </c>
      <c r="K104" s="16" t="s">
        <v>22</v>
      </c>
      <c r="L104" s="16" t="s">
        <v>22</v>
      </c>
    </row>
    <row r="105" customFormat="false" ht="15" hidden="false" customHeight="false" outlineLevel="0" collapsed="false">
      <c r="A105" s="9" t="n">
        <v>97</v>
      </c>
      <c r="B105" s="9" t="s">
        <v>118</v>
      </c>
      <c r="C105" s="9" t="n">
        <v>79</v>
      </c>
      <c r="D105" s="10" t="n">
        <v>3.57</v>
      </c>
      <c r="E105" s="11" t="n">
        <f aca="false">D105*$B$4</f>
        <v>290.8836</v>
      </c>
      <c r="F105" s="12" t="n">
        <v>34.72</v>
      </c>
      <c r="G105" s="11" t="n">
        <f aca="false">F105*$B$5</f>
        <v>397.710656</v>
      </c>
      <c r="H105" s="13" t="n">
        <f aca="false">G105-E105</f>
        <v>106.827056</v>
      </c>
      <c r="I105" s="14" t="n">
        <f aca="false">IF(E105=0,"",(G105-E105)/E105)</f>
        <v>0.367250185297487</v>
      </c>
      <c r="J105" s="15" t="str">
        <f aca="false">IF(E105=0,"",IF(G105&gt;E105,"Да","Нет"))</f>
        <v>Да</v>
      </c>
      <c r="K105" s="16" t="s">
        <v>22</v>
      </c>
      <c r="L105" s="16" t="s">
        <v>22</v>
      </c>
    </row>
    <row r="106" customFormat="false" ht="15" hidden="false" customHeight="false" outlineLevel="0" collapsed="false">
      <c r="A106" s="9" t="n">
        <v>98</v>
      </c>
      <c r="B106" s="9" t="s">
        <v>119</v>
      </c>
      <c r="C106" s="9" t="n">
        <v>241</v>
      </c>
      <c r="D106" s="10" t="n">
        <v>3.35</v>
      </c>
      <c r="E106" s="11" t="n">
        <f aca="false">D106*$B$4</f>
        <v>272.958</v>
      </c>
      <c r="F106" s="12" t="n">
        <v>33.21</v>
      </c>
      <c r="G106" s="11" t="n">
        <f aca="false">F106*$B$5</f>
        <v>380.413908</v>
      </c>
      <c r="H106" s="13" t="n">
        <f aca="false">G106-E106</f>
        <v>107.455908</v>
      </c>
      <c r="I106" s="14" t="n">
        <f aca="false">IF(E106=0,"",(G106-E106)/E106)</f>
        <v>0.393671949530697</v>
      </c>
      <c r="J106" s="15" t="str">
        <f aca="false">IF(E106=0,"",IF(G106&gt;E106,"Да","Нет"))</f>
        <v>Да</v>
      </c>
      <c r="K106" s="16" t="s">
        <v>22</v>
      </c>
      <c r="L106" s="16" t="s">
        <v>22</v>
      </c>
    </row>
    <row r="107" customFormat="false" ht="15" hidden="false" customHeight="false" outlineLevel="0" collapsed="false">
      <c r="A107" s="9" t="n">
        <v>99</v>
      </c>
      <c r="B107" s="9" t="s">
        <v>120</v>
      </c>
      <c r="C107" s="9" t="n">
        <v>72</v>
      </c>
      <c r="D107" s="10" t="n">
        <v>3.3</v>
      </c>
      <c r="E107" s="11" t="n">
        <f aca="false">D107*$B$4</f>
        <v>268.884</v>
      </c>
      <c r="F107" s="12" t="n">
        <v>32.73</v>
      </c>
      <c r="G107" s="11" t="n">
        <f aca="false">F107*$B$5</f>
        <v>374.915604</v>
      </c>
      <c r="H107" s="13" t="n">
        <f aca="false">G107-E107</f>
        <v>106.031604</v>
      </c>
      <c r="I107" s="14" t="n">
        <f aca="false">IF(E107=0,"",(G107-E107)/E107)</f>
        <v>0.394339581380818</v>
      </c>
      <c r="J107" s="15" t="str">
        <f aca="false">IF(E107=0,"",IF(G107&gt;E107,"Да","Нет"))</f>
        <v>Да</v>
      </c>
      <c r="K107" s="16" t="s">
        <v>22</v>
      </c>
      <c r="L107" s="16" t="s">
        <v>22</v>
      </c>
    </row>
    <row r="108" customFormat="false" ht="15" hidden="false" customHeight="false" outlineLevel="0" collapsed="false">
      <c r="A108" s="9" t="n">
        <v>100</v>
      </c>
      <c r="B108" s="9" t="s">
        <v>121</v>
      </c>
      <c r="C108" s="9" t="n">
        <v>295</v>
      </c>
      <c r="D108" s="10" t="n">
        <v>3.18</v>
      </c>
      <c r="E108" s="11" t="n">
        <f aca="false">D108*$B$4</f>
        <v>259.1064</v>
      </c>
      <c r="F108" s="12" t="n">
        <v>31.78</v>
      </c>
      <c r="G108" s="11" t="n">
        <f aca="false">F108*$B$5</f>
        <v>364.033544</v>
      </c>
      <c r="H108" s="13" t="n">
        <f aca="false">G108-E108</f>
        <v>104.927144</v>
      </c>
      <c r="I108" s="14" t="n">
        <f aca="false">IF(E108=0,"",(G108-E108)/E108)</f>
        <v>0.404957747087683</v>
      </c>
      <c r="J108" s="15" t="str">
        <f aca="false">IF(E108=0,"",IF(G108&gt;E108,"Да","Нет"))</f>
        <v>Да</v>
      </c>
      <c r="K108" s="16" t="s">
        <v>22</v>
      </c>
      <c r="L108" s="16" t="s">
        <v>22</v>
      </c>
    </row>
    <row r="109" customFormat="false" ht="15" hidden="false" customHeight="false" outlineLevel="0" collapsed="false">
      <c r="A109" s="9" t="n">
        <v>101</v>
      </c>
      <c r="B109" s="9" t="s">
        <v>122</v>
      </c>
      <c r="C109" s="9" t="n">
        <v>311</v>
      </c>
      <c r="D109" s="10" t="n">
        <v>3.12</v>
      </c>
      <c r="E109" s="11" t="n">
        <f aca="false">D109*$B$4</f>
        <v>254.2176</v>
      </c>
      <c r="F109" s="12" t="n">
        <v>29.59</v>
      </c>
      <c r="G109" s="11" t="n">
        <f aca="false">F109*$B$5</f>
        <v>338.947532</v>
      </c>
      <c r="H109" s="13" t="n">
        <f aca="false">G109-E109</f>
        <v>84.729932</v>
      </c>
      <c r="I109" s="14" t="n">
        <f aca="false">IF(E109=0,"",(G109-E109)/E109)</f>
        <v>0.333296876376773</v>
      </c>
      <c r="J109" s="15" t="str">
        <f aca="false">IF(E109=0,"",IF(G109&gt;E109,"Да","Нет"))</f>
        <v>Да</v>
      </c>
      <c r="K109" s="16" t="s">
        <v>22</v>
      </c>
      <c r="L109" s="16" t="s">
        <v>22</v>
      </c>
    </row>
    <row r="110" customFormat="false" ht="15" hidden="false" customHeight="false" outlineLevel="0" collapsed="false">
      <c r="A110" s="9" t="n">
        <v>102</v>
      </c>
      <c r="B110" s="9" t="s">
        <v>123</v>
      </c>
      <c r="C110" s="9" t="n">
        <v>183</v>
      </c>
      <c r="D110" s="10" t="n">
        <v>2.97</v>
      </c>
      <c r="E110" s="11" t="n">
        <f aca="false">D110*$B$4</f>
        <v>241.9956</v>
      </c>
      <c r="F110" s="12" t="n">
        <v>30.68</v>
      </c>
      <c r="G110" s="11" t="n">
        <f aca="false">F110*$B$5</f>
        <v>351.433264</v>
      </c>
      <c r="H110" s="13" t="n">
        <f aca="false">G110-E110</f>
        <v>109.437664</v>
      </c>
      <c r="I110" s="14" t="n">
        <f aca="false">IF(E110=0,"",(G110-E110)/E110)</f>
        <v>0.452229974429287</v>
      </c>
      <c r="J110" s="15" t="str">
        <f aca="false">IF(E110=0,"",IF(G110&gt;E110,"Да","Нет"))</f>
        <v>Да</v>
      </c>
      <c r="K110" s="16" t="s">
        <v>22</v>
      </c>
      <c r="L110" s="16" t="s">
        <v>22</v>
      </c>
    </row>
    <row r="111" customFormat="false" ht="15" hidden="false" customHeight="false" outlineLevel="0" collapsed="false">
      <c r="A111" s="9" t="n">
        <v>103</v>
      </c>
      <c r="B111" s="9" t="s">
        <v>124</v>
      </c>
      <c r="C111" s="9" t="n">
        <v>119</v>
      </c>
      <c r="D111" s="10" t="n">
        <v>2.96</v>
      </c>
      <c r="E111" s="11" t="n">
        <f aca="false">D111*$B$4</f>
        <v>241.1808</v>
      </c>
      <c r="F111" s="12" t="n">
        <v>28.43</v>
      </c>
      <c r="G111" s="11" t="n">
        <f aca="false">F111*$B$5</f>
        <v>325.659964</v>
      </c>
      <c r="H111" s="13" t="n">
        <f aca="false">G111-E111</f>
        <v>84.479164</v>
      </c>
      <c r="I111" s="14" t="n">
        <f aca="false">IF(E111=0,"",(G111-E111)/E111)</f>
        <v>0.350273172657193</v>
      </c>
      <c r="J111" s="15" t="str">
        <f aca="false">IF(E111=0,"",IF(G111&gt;E111,"Да","Нет"))</f>
        <v>Да</v>
      </c>
      <c r="K111" s="16" t="s">
        <v>22</v>
      </c>
      <c r="L111" s="16" t="s">
        <v>22</v>
      </c>
    </row>
    <row r="112" customFormat="false" ht="15" hidden="false" customHeight="false" outlineLevel="0" collapsed="false">
      <c r="A112" s="9" t="n">
        <v>104</v>
      </c>
      <c r="B112" s="9" t="s">
        <v>125</v>
      </c>
      <c r="C112" s="9" t="n">
        <v>46</v>
      </c>
      <c r="D112" s="10" t="n">
        <v>2.89</v>
      </c>
      <c r="E112" s="11" t="n">
        <f aca="false">D112*$B$4</f>
        <v>235.4772</v>
      </c>
      <c r="F112" s="12" t="n">
        <v>25.9</v>
      </c>
      <c r="G112" s="11" t="n">
        <f aca="false">F112*$B$5</f>
        <v>296.67932</v>
      </c>
      <c r="H112" s="13" t="n">
        <f aca="false">G112-E112</f>
        <v>61.20212</v>
      </c>
      <c r="I112" s="14" t="n">
        <f aca="false">IF(E112=0,"",(G112-E112)/E112)</f>
        <v>0.259906776537176</v>
      </c>
      <c r="J112" s="15" t="str">
        <f aca="false">IF(E112=0,"",IF(G112&gt;E112,"Да","Нет"))</f>
        <v>Да</v>
      </c>
      <c r="K112" s="16" t="s">
        <v>22</v>
      </c>
      <c r="L112" s="16" t="s">
        <v>22</v>
      </c>
    </row>
    <row r="113" customFormat="false" ht="15" hidden="false" customHeight="false" outlineLevel="0" collapsed="false">
      <c r="A113" s="9" t="n">
        <v>105</v>
      </c>
      <c r="B113" s="9" t="s">
        <v>126</v>
      </c>
      <c r="C113" s="9" t="n">
        <v>139</v>
      </c>
      <c r="D113" s="10" t="n">
        <v>2.31</v>
      </c>
      <c r="E113" s="11" t="n">
        <f aca="false">D113*$B$4</f>
        <v>188.2188</v>
      </c>
      <c r="F113" s="12" t="n">
        <v>20.91</v>
      </c>
      <c r="G113" s="11" t="n">
        <f aca="false">F113*$B$5</f>
        <v>239.519868</v>
      </c>
      <c r="H113" s="13" t="n">
        <f aca="false">G113-E113</f>
        <v>51.301068</v>
      </c>
      <c r="I113" s="14" t="n">
        <f aca="false">IF(E113=0,"",(G113-E113)/E113)</f>
        <v>0.272560806890704</v>
      </c>
      <c r="J113" s="15" t="str">
        <f aca="false">IF(E113=0,"",IF(G113&gt;E113,"Да","Нет"))</f>
        <v>Да</v>
      </c>
      <c r="K113" s="16" t="s">
        <v>22</v>
      </c>
      <c r="L113" s="16" t="s">
        <v>22</v>
      </c>
    </row>
    <row r="114" customFormat="false" ht="15" hidden="false" customHeight="false" outlineLevel="0" collapsed="false">
      <c r="A114" s="9" t="n">
        <v>106</v>
      </c>
      <c r="B114" s="9" t="s">
        <v>127</v>
      </c>
      <c r="C114" s="9" t="n">
        <v>20</v>
      </c>
      <c r="D114" s="10" t="n">
        <v>2.24</v>
      </c>
      <c r="E114" s="11" t="n">
        <f aca="false">D114*$B$4</f>
        <v>182.5152</v>
      </c>
      <c r="F114" s="12" t="n">
        <v>21.66</v>
      </c>
      <c r="G114" s="11" t="n">
        <f aca="false">F114*$B$5</f>
        <v>248.110968</v>
      </c>
      <c r="H114" s="13" t="n">
        <f aca="false">G114-E114</f>
        <v>65.595768</v>
      </c>
      <c r="I114" s="14" t="n">
        <f aca="false">IF(E114=0,"",(G114-E114)/E114)</f>
        <v>0.359398932253314</v>
      </c>
      <c r="J114" s="15" t="str">
        <f aca="false">IF(E114=0,"",IF(G114&gt;E114,"Да","Нет"))</f>
        <v>Да</v>
      </c>
      <c r="K114" s="16" t="s">
        <v>22</v>
      </c>
      <c r="L114" s="16" t="s">
        <v>22</v>
      </c>
    </row>
    <row r="115" customFormat="false" ht="15" hidden="false" customHeight="false" outlineLevel="0" collapsed="false">
      <c r="A115" s="9" t="n">
        <v>107</v>
      </c>
      <c r="B115" s="9" t="s">
        <v>128</v>
      </c>
      <c r="C115" s="9" t="n">
        <v>104</v>
      </c>
      <c r="D115" s="10" t="n">
        <v>2.24</v>
      </c>
      <c r="E115" s="11" t="n">
        <f aca="false">D115*$B$4</f>
        <v>182.5152</v>
      </c>
      <c r="F115" s="12" t="n">
        <v>25.63</v>
      </c>
      <c r="G115" s="11" t="n">
        <f aca="false">F115*$B$5</f>
        <v>293.586524</v>
      </c>
      <c r="H115" s="13" t="n">
        <f aca="false">G115-E115</f>
        <v>111.071324</v>
      </c>
      <c r="I115" s="14" t="n">
        <f aca="false">IF(E115=0,"",(G115-E115)/E115)</f>
        <v>0.608559309032891</v>
      </c>
      <c r="J115" s="15" t="str">
        <f aca="false">IF(E115=0,"",IF(G115&gt;E115,"Да","Нет"))</f>
        <v>Да</v>
      </c>
      <c r="K115" s="16" t="s">
        <v>22</v>
      </c>
      <c r="L115" s="16" t="s">
        <v>22</v>
      </c>
    </row>
    <row r="116" customFormat="false" ht="15" hidden="false" customHeight="false" outlineLevel="0" collapsed="false">
      <c r="A116" s="9" t="n">
        <v>108</v>
      </c>
      <c r="B116" s="9" t="s">
        <v>129</v>
      </c>
      <c r="C116" s="9" t="n">
        <v>56</v>
      </c>
      <c r="D116" s="10" t="n">
        <v>2.13</v>
      </c>
      <c r="E116" s="11" t="n">
        <f aca="false">D116*$B$4</f>
        <v>173.5524</v>
      </c>
      <c r="F116" s="12" t="n">
        <v>19.88</v>
      </c>
      <c r="G116" s="11" t="n">
        <f aca="false">F116*$B$5</f>
        <v>227.721424</v>
      </c>
      <c r="H116" s="13" t="n">
        <f aca="false">G116-E116</f>
        <v>54.169024</v>
      </c>
      <c r="I116" s="14" t="n">
        <f aca="false">IF(E116=0,"",(G116-E116)/E116)</f>
        <v>0.312119129438717</v>
      </c>
      <c r="J116" s="15" t="str">
        <f aca="false">IF(E116=0,"",IF(G116&gt;E116,"Да","Нет"))</f>
        <v>Да</v>
      </c>
      <c r="K116" s="16" t="s">
        <v>22</v>
      </c>
      <c r="L116" s="16" t="s">
        <v>22</v>
      </c>
    </row>
    <row r="117" customFormat="false" ht="15" hidden="false" customHeight="false" outlineLevel="0" collapsed="false">
      <c r="A117" s="9" t="n">
        <v>109</v>
      </c>
      <c r="B117" s="9" t="s">
        <v>130</v>
      </c>
      <c r="C117" s="9" t="n">
        <v>25</v>
      </c>
      <c r="D117" s="10" t="n">
        <v>2.05</v>
      </c>
      <c r="E117" s="11" t="n">
        <f aca="false">D117*$B$4</f>
        <v>167.034</v>
      </c>
      <c r="F117" s="12" t="n">
        <v>18.18</v>
      </c>
      <c r="G117" s="11" t="n">
        <f aca="false">F117*$B$5</f>
        <v>208.248264</v>
      </c>
      <c r="H117" s="13" t="n">
        <f aca="false">G117-E117</f>
        <v>41.214264</v>
      </c>
      <c r="I117" s="14" t="n">
        <f aca="false">IF(E117=0,"",(G117-E117)/E117)</f>
        <v>0.24674176514961</v>
      </c>
      <c r="J117" s="15" t="str">
        <f aca="false">IF(E117=0,"",IF(G117&gt;E117,"Да","Нет"))</f>
        <v>Да</v>
      </c>
      <c r="K117" s="16" t="s">
        <v>22</v>
      </c>
      <c r="L117" s="16" t="s">
        <v>22</v>
      </c>
    </row>
    <row r="118" customFormat="false" ht="15" hidden="false" customHeight="false" outlineLevel="0" collapsed="false">
      <c r="A118" s="9" t="n">
        <v>110</v>
      </c>
      <c r="B118" s="9" t="s">
        <v>131</v>
      </c>
      <c r="C118" s="9" t="n">
        <v>265</v>
      </c>
      <c r="D118" s="10" t="n">
        <v>1.87</v>
      </c>
      <c r="E118" s="11" t="n">
        <f aca="false">D118*$B$4</f>
        <v>152.3676</v>
      </c>
      <c r="F118" s="12" t="n">
        <v>18.65</v>
      </c>
      <c r="G118" s="11" t="n">
        <f aca="false">F118*$B$5</f>
        <v>213.63202</v>
      </c>
      <c r="H118" s="13" t="n">
        <f aca="false">G118-E118</f>
        <v>61.26442</v>
      </c>
      <c r="I118" s="14" t="n">
        <f aca="false">IF(E118=0,"",(G118-E118)/E118)</f>
        <v>0.402082988771891</v>
      </c>
      <c r="J118" s="15" t="str">
        <f aca="false">IF(E118=0,"",IF(G118&gt;E118,"Да","Нет"))</f>
        <v>Да</v>
      </c>
      <c r="K118" s="16" t="s">
        <v>22</v>
      </c>
      <c r="L118" s="16" t="s">
        <v>22</v>
      </c>
    </row>
    <row r="119" customFormat="false" ht="15" hidden="false" customHeight="false" outlineLevel="0" collapsed="false">
      <c r="A119" s="9" t="n">
        <v>111</v>
      </c>
      <c r="B119" s="9" t="s">
        <v>132</v>
      </c>
      <c r="C119" s="9" t="n">
        <v>275</v>
      </c>
      <c r="D119" s="10" t="n">
        <v>1.68</v>
      </c>
      <c r="E119" s="11" t="n">
        <f aca="false">D119*$B$4</f>
        <v>136.8864</v>
      </c>
      <c r="F119" s="12" t="n">
        <v>15.51</v>
      </c>
      <c r="G119" s="11" t="n">
        <f aca="false">F119*$B$5</f>
        <v>177.663948</v>
      </c>
      <c r="H119" s="13" t="n">
        <f aca="false">G119-E119</f>
        <v>40.777548</v>
      </c>
      <c r="I119" s="14" t="n">
        <f aca="false">IF(E119=0,"",(G119-E119)/E119)</f>
        <v>0.297893348060874</v>
      </c>
      <c r="J119" s="15" t="str">
        <f aca="false">IF(E119=0,"",IF(G119&gt;E119,"Да","Нет"))</f>
        <v>Да</v>
      </c>
      <c r="K119" s="16" t="s">
        <v>22</v>
      </c>
      <c r="L119" s="16" t="s">
        <v>22</v>
      </c>
    </row>
    <row r="120" customFormat="false" ht="15" hidden="false" customHeight="false" outlineLevel="0" collapsed="false">
      <c r="A120" s="9" t="n">
        <v>112</v>
      </c>
      <c r="B120" s="9" t="s">
        <v>133</v>
      </c>
      <c r="C120" s="9" t="n">
        <v>53</v>
      </c>
      <c r="D120" s="10" t="n">
        <v>1.62</v>
      </c>
      <c r="E120" s="11" t="n">
        <f aca="false">D120*$B$4</f>
        <v>131.9976</v>
      </c>
      <c r="F120" s="12" t="n">
        <v>15.03</v>
      </c>
      <c r="G120" s="11" t="n">
        <f aca="false">F120*$B$5</f>
        <v>172.165644</v>
      </c>
      <c r="H120" s="13" t="n">
        <f aca="false">G120-E120</f>
        <v>40.168044</v>
      </c>
      <c r="I120" s="14" t="n">
        <f aca="false">IF(E120=0,"",(G120-E120)/E120)</f>
        <v>0.304308896525391</v>
      </c>
      <c r="J120" s="15" t="str">
        <f aca="false">IF(E120=0,"",IF(G120&gt;E120,"Да","Нет"))</f>
        <v>Да</v>
      </c>
      <c r="K120" s="16" t="s">
        <v>22</v>
      </c>
      <c r="L120" s="16" t="s">
        <v>22</v>
      </c>
    </row>
    <row r="121" customFormat="false" ht="15" hidden="false" customHeight="false" outlineLevel="0" collapsed="false">
      <c r="A121" s="9" t="n">
        <v>113</v>
      </c>
      <c r="B121" s="9" t="s">
        <v>134</v>
      </c>
      <c r="C121" s="9" t="n">
        <v>289</v>
      </c>
      <c r="D121" s="10" t="n">
        <v>1.57</v>
      </c>
      <c r="E121" s="11" t="n">
        <f aca="false">D121*$B$4</f>
        <v>127.9236</v>
      </c>
      <c r="F121" s="12" t="n">
        <v>14.14</v>
      </c>
      <c r="G121" s="11" t="n">
        <f aca="false">F121*$B$5</f>
        <v>161.970872</v>
      </c>
      <c r="H121" s="13" t="n">
        <f aca="false">G121-E121</f>
        <v>34.047272</v>
      </c>
      <c r="I121" s="14" t="n">
        <f aca="false">IF(E121=0,"",(G121-E121)/E121)</f>
        <v>0.26615317267494</v>
      </c>
      <c r="J121" s="15" t="str">
        <f aca="false">IF(E121=0,"",IF(G121&gt;E121,"Да","Нет"))</f>
        <v>Да</v>
      </c>
      <c r="K121" s="16" t="s">
        <v>22</v>
      </c>
      <c r="L121" s="16" t="s">
        <v>22</v>
      </c>
    </row>
    <row r="122" customFormat="false" ht="15" hidden="false" customHeight="false" outlineLevel="0" collapsed="false">
      <c r="A122" s="9" t="n">
        <v>114</v>
      </c>
      <c r="B122" s="9" t="s">
        <v>135</v>
      </c>
      <c r="C122" s="9" t="n">
        <v>1042</v>
      </c>
      <c r="D122" s="10" t="n">
        <v>1.43</v>
      </c>
      <c r="E122" s="11" t="n">
        <f aca="false">D122*$B$4</f>
        <v>116.5164</v>
      </c>
      <c r="F122" s="12" t="n">
        <v>13.05</v>
      </c>
      <c r="G122" s="11" t="n">
        <f aca="false">F122*$B$5</f>
        <v>149.48514</v>
      </c>
      <c r="H122" s="13" t="n">
        <f aca="false">G122-E122</f>
        <v>32.96874</v>
      </c>
      <c r="I122" s="14" t="n">
        <f aca="false">IF(E122=0,"",(G122-E122)/E122)</f>
        <v>0.28295364429385</v>
      </c>
      <c r="J122" s="15" t="str">
        <f aca="false">IF(E122=0,"",IF(G122&gt;E122,"Да","Нет"))</f>
        <v>Да</v>
      </c>
      <c r="K122" s="16" t="s">
        <v>22</v>
      </c>
      <c r="L122" s="16" t="s">
        <v>22</v>
      </c>
    </row>
    <row r="123" customFormat="false" ht="15" hidden="false" customHeight="false" outlineLevel="0" collapsed="false">
      <c r="A123" s="9" t="n">
        <v>115</v>
      </c>
      <c r="B123" s="9" t="s">
        <v>136</v>
      </c>
      <c r="C123" s="9" t="n">
        <v>554</v>
      </c>
      <c r="D123" s="10" t="n">
        <v>1.03</v>
      </c>
      <c r="E123" s="11" t="n">
        <f aca="false">D123*$B$4</f>
        <v>83.9244</v>
      </c>
      <c r="F123" s="12" t="n">
        <v>10.52</v>
      </c>
      <c r="G123" s="11" t="n">
        <f aca="false">F123*$B$5</f>
        <v>120.504496</v>
      </c>
      <c r="H123" s="13" t="n">
        <f aca="false">G123-E123</f>
        <v>36.580096</v>
      </c>
      <c r="I123" s="14" t="n">
        <f aca="false">IF(E123=0,"",(G123-E123)/E123)</f>
        <v>0.435869615987722</v>
      </c>
      <c r="J123" s="15" t="str">
        <f aca="false">IF(E123=0,"",IF(G123&gt;E123,"Да","Нет"))</f>
        <v>Да</v>
      </c>
      <c r="K123" s="16" t="s">
        <v>22</v>
      </c>
      <c r="L123" s="16" t="s">
        <v>22</v>
      </c>
    </row>
    <row r="124" customFormat="false" ht="15" hidden="false" customHeight="false" outlineLevel="0" collapsed="false">
      <c r="A124" s="9" t="n">
        <v>116</v>
      </c>
      <c r="B124" s="9" t="s">
        <v>137</v>
      </c>
      <c r="C124" s="9" t="n">
        <v>295</v>
      </c>
      <c r="D124" s="10" t="n">
        <v>0.86</v>
      </c>
      <c r="E124" s="11" t="n">
        <f aca="false">D124*$B$4</f>
        <v>70.0728</v>
      </c>
      <c r="F124" s="12" t="n">
        <v>8.61</v>
      </c>
      <c r="G124" s="11" t="n">
        <f aca="false">F124*$B$5</f>
        <v>98.625828</v>
      </c>
      <c r="H124" s="13" t="n">
        <f aca="false">G124-E124</f>
        <v>28.553028</v>
      </c>
      <c r="I124" s="14" t="n">
        <f aca="false">IF(E124=0,"",(G124-E124)/E124)</f>
        <v>0.407476624310717</v>
      </c>
      <c r="J124" s="15" t="str">
        <f aca="false">IF(E124=0,"",IF(G124&gt;E124,"Да","Нет"))</f>
        <v>Да</v>
      </c>
      <c r="K124" s="16" t="s">
        <v>22</v>
      </c>
      <c r="L124" s="16" t="s">
        <v>22</v>
      </c>
    </row>
    <row r="125" customFormat="false" ht="15" hidden="false" customHeight="false" outlineLevel="0" collapsed="false">
      <c r="A125" s="9" t="n">
        <v>117</v>
      </c>
      <c r="B125" s="9" t="s">
        <v>138</v>
      </c>
      <c r="C125" s="9" t="n">
        <v>286</v>
      </c>
      <c r="D125" s="10" t="n">
        <v>0.74</v>
      </c>
      <c r="E125" s="11" t="n">
        <f aca="false">D125*$B$4</f>
        <v>60.2952</v>
      </c>
      <c r="F125" s="12" t="n">
        <v>7.24</v>
      </c>
      <c r="G125" s="11" t="n">
        <f aca="false">F125*$B$5</f>
        <v>82.932752</v>
      </c>
      <c r="H125" s="13" t="n">
        <f aca="false">G125-E125</f>
        <v>22.637552</v>
      </c>
      <c r="I125" s="14" t="n">
        <f aca="false">IF(E125=0,"",(G125-E125)/E125)</f>
        <v>0.375445342249466</v>
      </c>
      <c r="J125" s="15" t="str">
        <f aca="false">IF(E125=0,"",IF(G125&gt;E125,"Да","Нет"))</f>
        <v>Да</v>
      </c>
      <c r="K125" s="16" t="s">
        <v>22</v>
      </c>
      <c r="L125" s="16" t="s">
        <v>22</v>
      </c>
    </row>
    <row r="126" customFormat="false" ht="15" hidden="false" customHeight="false" outlineLevel="0" collapsed="false">
      <c r="A126" s="9" t="n">
        <v>118</v>
      </c>
      <c r="B126" s="9" t="s">
        <v>139</v>
      </c>
      <c r="C126" s="9" t="n">
        <v>64</v>
      </c>
      <c r="D126" s="10" t="n">
        <v>0.48</v>
      </c>
      <c r="E126" s="11" t="n">
        <f aca="false">D126*$B$4</f>
        <v>39.1104</v>
      </c>
      <c r="F126" s="12" t="n">
        <v>6.08</v>
      </c>
      <c r="G126" s="11" t="n">
        <f aca="false">F126*$B$5</f>
        <v>69.645184</v>
      </c>
      <c r="H126" s="13" t="n">
        <f aca="false">G126-E126</f>
        <v>30.534784</v>
      </c>
      <c r="I126" s="14" t="n">
        <f aca="false">IF(E126=0,"",(G126-E126)/E126)</f>
        <v>0.780733104238259</v>
      </c>
      <c r="J126" s="15" t="str">
        <f aca="false">IF(E126=0,"",IF(G126&gt;E126,"Да","Нет"))</f>
        <v>Да</v>
      </c>
      <c r="K126" s="16" t="s">
        <v>22</v>
      </c>
      <c r="L126" s="16" t="s">
        <v>22</v>
      </c>
    </row>
    <row r="128" customFormat="false" ht="15" hidden="false" customHeight="false" outlineLevel="0" collapsed="false">
      <c r="B128" s="3" t="s">
        <v>140</v>
      </c>
      <c r="E128" s="17" t="n">
        <f aca="false">SUM(E9:E126)</f>
        <v>141202.3956</v>
      </c>
      <c r="G128" s="17" t="n">
        <f aca="false">SUM(G9:G126)</f>
        <v>192188.405304</v>
      </c>
      <c r="H128" s="17" t="n">
        <f aca="false">G128-E128</f>
        <v>50986.009704</v>
      </c>
      <c r="I128" s="18" t="n">
        <f aca="false">IF(E128=0,"",(G128-E128)/E128)</f>
        <v>0.361084594120016</v>
      </c>
    </row>
  </sheetData>
  <mergeCells count="3">
    <mergeCell ref="A1:L1"/>
    <mergeCell ref="A2:L2"/>
    <mergeCell ref="A3:L3"/>
  </mergeCells>
  <hyperlinks>
    <hyperlink ref="K9" r:id="rId1" display="Открыть"/>
    <hyperlink ref="L9" r:id="rId2" display="Открыть"/>
    <hyperlink ref="K10" r:id="rId3" display="Открыть"/>
    <hyperlink ref="L10" r:id="rId4" display="Открыть"/>
    <hyperlink ref="K11" r:id="rId5" display="Открыть"/>
    <hyperlink ref="L11" r:id="rId6" display="Открыть"/>
    <hyperlink ref="K12" r:id="rId7" display="Открыть"/>
    <hyperlink ref="L12" r:id="rId8" display="Открыть"/>
    <hyperlink ref="K13" r:id="rId9" display="Открыть"/>
    <hyperlink ref="L13" r:id="rId10" display="Открыть"/>
    <hyperlink ref="K14" r:id="rId11" display="Открыть"/>
    <hyperlink ref="L14" r:id="rId12" display="Открыть"/>
    <hyperlink ref="K15" r:id="rId13" display="Открыть"/>
    <hyperlink ref="L15" r:id="rId14" display="Открыть"/>
    <hyperlink ref="K16" r:id="rId15" display="Открыть"/>
    <hyperlink ref="L16" r:id="rId16" display="Открыть"/>
    <hyperlink ref="K17" r:id="rId17" display="Открыть"/>
    <hyperlink ref="L17" r:id="rId18" display="Открыть"/>
    <hyperlink ref="K18" r:id="rId19" display="Открыть"/>
    <hyperlink ref="L18" r:id="rId20" display="Открыть"/>
    <hyperlink ref="K19" r:id="rId21" display="Открыть"/>
    <hyperlink ref="L19" r:id="rId22" display="Открыть"/>
    <hyperlink ref="K20" r:id="rId23" display="Открыть"/>
    <hyperlink ref="L20" r:id="rId24" display="Открыть"/>
    <hyperlink ref="K21" r:id="rId25" display="Открыть"/>
    <hyperlink ref="L21" r:id="rId26" display="Открыть"/>
    <hyperlink ref="K22" r:id="rId27" display="Открыть"/>
    <hyperlink ref="L22" r:id="rId28" display="Открыть"/>
    <hyperlink ref="K23" r:id="rId29" display="Открыть"/>
    <hyperlink ref="L23" r:id="rId30" display="Открыть"/>
    <hyperlink ref="K24" r:id="rId31" display="Открыть"/>
    <hyperlink ref="L24" r:id="rId32" display="Открыть"/>
    <hyperlink ref="K25" r:id="rId33" display="Открыть"/>
    <hyperlink ref="L25" r:id="rId34" display="Открыть"/>
    <hyperlink ref="K26" r:id="rId35" display="Открыть"/>
    <hyperlink ref="L26" r:id="rId36" display="Открыть"/>
    <hyperlink ref="K27" r:id="rId37" display="Открыть"/>
    <hyperlink ref="L27" r:id="rId38" display="Открыть"/>
    <hyperlink ref="K28" r:id="rId39" display="Открыть"/>
    <hyperlink ref="L28" r:id="rId40" display="Открыть"/>
    <hyperlink ref="K29" r:id="rId41" display="Открыть"/>
    <hyperlink ref="L29" r:id="rId42" display="Открыть"/>
    <hyperlink ref="K30" r:id="rId43" display="Открыть"/>
    <hyperlink ref="L30" r:id="rId44" display="Открыть"/>
    <hyperlink ref="K31" r:id="rId45" display="Открыть"/>
    <hyperlink ref="L31" r:id="rId46" display="Открыть"/>
    <hyperlink ref="K32" r:id="rId47" display="Открыть"/>
    <hyperlink ref="L32" r:id="rId48" display="Открыть"/>
    <hyperlink ref="K33" r:id="rId49" display="Открыть"/>
    <hyperlink ref="L33" r:id="rId50" display="Открыть"/>
    <hyperlink ref="K34" r:id="rId51" display="Открыть"/>
    <hyperlink ref="L34" r:id="rId52" display="Открыть"/>
    <hyperlink ref="K35" r:id="rId53" display="Открыть"/>
    <hyperlink ref="L35" r:id="rId54" display="Открыть"/>
    <hyperlink ref="K36" r:id="rId55" display="Открыть"/>
    <hyperlink ref="L36" r:id="rId56" display="Открыть"/>
    <hyperlink ref="K37" r:id="rId57" display="Открыть"/>
    <hyperlink ref="L37" r:id="rId58" display="Открыть"/>
    <hyperlink ref="K38" r:id="rId59" display="Открыть"/>
    <hyperlink ref="L38" r:id="rId60" display="Открыть"/>
    <hyperlink ref="K39" r:id="rId61" display="Открыть"/>
    <hyperlink ref="L39" r:id="rId62" display="Открыть"/>
    <hyperlink ref="K40" r:id="rId63" display="Открыть"/>
    <hyperlink ref="L40" r:id="rId64" display="Открыть"/>
    <hyperlink ref="K41" r:id="rId65" display="Открыть"/>
    <hyperlink ref="L41" r:id="rId66" display="Открыть"/>
    <hyperlink ref="K42" r:id="rId67" display="Открыть"/>
    <hyperlink ref="L42" r:id="rId68" display="Открыть"/>
    <hyperlink ref="K43" r:id="rId69" display="Открыть"/>
    <hyperlink ref="L43" r:id="rId70" display="Открыть"/>
    <hyperlink ref="K44" r:id="rId71" display="Открыть"/>
    <hyperlink ref="L44" r:id="rId72" display="Открыть"/>
    <hyperlink ref="K45" r:id="rId73" display="Открыть"/>
    <hyperlink ref="L45" r:id="rId74" display="Открыть"/>
    <hyperlink ref="K46" r:id="rId75" display="Открыть"/>
    <hyperlink ref="L46" r:id="rId76" display="Открыть"/>
    <hyperlink ref="K47" r:id="rId77" display="Открыть"/>
    <hyperlink ref="L47" r:id="rId78" display="Открыть"/>
    <hyperlink ref="K48" r:id="rId79" display="Открыть"/>
    <hyperlink ref="L48" r:id="rId80" display="Открыть"/>
    <hyperlink ref="K49" r:id="rId81" display="Открыть"/>
    <hyperlink ref="L49" r:id="rId82" display="Открыть"/>
    <hyperlink ref="K50" r:id="rId83" display="Открыть"/>
    <hyperlink ref="L50" r:id="rId84" display="Открыть"/>
    <hyperlink ref="K51" r:id="rId85" display="Открыть"/>
    <hyperlink ref="L51" r:id="rId86" display="Открыть"/>
    <hyperlink ref="K52" r:id="rId87" display="Открыть"/>
    <hyperlink ref="L52" r:id="rId88" display="Открыть"/>
    <hyperlink ref="K53" r:id="rId89" display="Открыть"/>
    <hyperlink ref="L53" r:id="rId90" display="Открыть"/>
    <hyperlink ref="K54" r:id="rId91" display="Открыть"/>
    <hyperlink ref="L54" r:id="rId92" display="Открыть"/>
    <hyperlink ref="K55" r:id="rId93" display="Открыть"/>
    <hyperlink ref="L55" r:id="rId94" display="Открыть"/>
    <hyperlink ref="K56" r:id="rId95" display="Открыть"/>
    <hyperlink ref="L56" r:id="rId96" display="Открыть"/>
    <hyperlink ref="K57" r:id="rId97" display="Открыть"/>
    <hyperlink ref="L57" r:id="rId98" display="Открыть"/>
    <hyperlink ref="K58" r:id="rId99" display="Открыть"/>
    <hyperlink ref="L58" r:id="rId100" display="Открыть"/>
    <hyperlink ref="K59" r:id="rId101" display="Открыть"/>
    <hyperlink ref="L59" r:id="rId102" display="Открыть"/>
    <hyperlink ref="K60" r:id="rId103" display="Открыть"/>
    <hyperlink ref="L60" r:id="rId104" display="Открыть"/>
    <hyperlink ref="K61" r:id="rId105" display="Открыть"/>
    <hyperlink ref="L61" r:id="rId106" display="Открыть"/>
    <hyperlink ref="K62" r:id="rId107" display="Открыть"/>
    <hyperlink ref="L62" r:id="rId108" display="Открыть"/>
    <hyperlink ref="K63" r:id="rId109" display="Открыть"/>
    <hyperlink ref="L63" r:id="rId110" display="Открыть"/>
    <hyperlink ref="K64" r:id="rId111" display="Открыть"/>
    <hyperlink ref="L64" r:id="rId112" display="Открыть"/>
    <hyperlink ref="K65" r:id="rId113" display="Открыть"/>
    <hyperlink ref="L65" r:id="rId114" display="Открыть"/>
    <hyperlink ref="K66" r:id="rId115" display="Открыть"/>
    <hyperlink ref="L66" r:id="rId116" display="Открыть"/>
    <hyperlink ref="K67" r:id="rId117" display="Открыть"/>
    <hyperlink ref="L67" r:id="rId118" display="Открыть"/>
    <hyperlink ref="K68" r:id="rId119" display="Открыть"/>
    <hyperlink ref="L68" r:id="rId120" display="Открыть"/>
    <hyperlink ref="K69" r:id="rId121" display="Открыть"/>
    <hyperlink ref="L69" r:id="rId122" display="Открыть"/>
    <hyperlink ref="K70" r:id="rId123" display="Открыть"/>
    <hyperlink ref="L70" r:id="rId124" display="Открыть"/>
    <hyperlink ref="K71" r:id="rId125" display="Открыть"/>
    <hyperlink ref="L71" r:id="rId126" display="Открыть"/>
    <hyperlink ref="K72" r:id="rId127" display="Открыть"/>
    <hyperlink ref="L72" r:id="rId128" display="Открыть"/>
    <hyperlink ref="K73" r:id="rId129" display="Открыть"/>
    <hyperlink ref="L73" r:id="rId130" display="Открыть"/>
    <hyperlink ref="K74" r:id="rId131" display="Открыть"/>
    <hyperlink ref="L74" r:id="rId132" display="Открыть"/>
    <hyperlink ref="K75" r:id="rId133" display="Открыть"/>
    <hyperlink ref="L75" r:id="rId134" display="Открыть"/>
    <hyperlink ref="K76" r:id="rId135" display="Открыть"/>
    <hyperlink ref="L76" r:id="rId136" display="Открыть"/>
    <hyperlink ref="K77" r:id="rId137" display="Открыть"/>
    <hyperlink ref="L77" r:id="rId138" display="Открыть"/>
    <hyperlink ref="K78" r:id="rId139" display="Открыть"/>
    <hyperlink ref="L78" r:id="rId140" display="Открыть"/>
    <hyperlink ref="K79" r:id="rId141" display="Открыть"/>
    <hyperlink ref="L79" r:id="rId142" display="Открыть"/>
    <hyperlink ref="K80" r:id="rId143" display="Открыть"/>
    <hyperlink ref="L80" r:id="rId144" display="Открыть"/>
    <hyperlink ref="K81" r:id="rId145" display="Открыть"/>
    <hyperlink ref="L81" r:id="rId146" display="Открыть"/>
    <hyperlink ref="K82" r:id="rId147" display="Открыть"/>
    <hyperlink ref="L82" r:id="rId148" display="Открыть"/>
    <hyperlink ref="K83" r:id="rId149" display="Открыть"/>
    <hyperlink ref="L83" r:id="rId150" display="Открыть"/>
    <hyperlink ref="K84" r:id="rId151" display="Открыть"/>
    <hyperlink ref="L84" r:id="rId152" display="Открыть"/>
    <hyperlink ref="K85" r:id="rId153" display="Открыть"/>
    <hyperlink ref="L85" r:id="rId154" display="Открыть"/>
    <hyperlink ref="K86" r:id="rId155" display="Открыть"/>
    <hyperlink ref="L86" r:id="rId156" display="Открыть"/>
    <hyperlink ref="K87" r:id="rId157" display="Открыть"/>
    <hyperlink ref="L87" r:id="rId158" display="Открыть"/>
    <hyperlink ref="K88" r:id="rId159" display="Открыть"/>
    <hyperlink ref="L88" r:id="rId160" display="Открыть"/>
    <hyperlink ref="K89" r:id="rId161" display="Открыть"/>
    <hyperlink ref="L89" r:id="rId162" display="Открыть"/>
    <hyperlink ref="K90" r:id="rId163" display="Открыть"/>
    <hyperlink ref="L90" r:id="rId164" display="Открыть"/>
    <hyperlink ref="K91" r:id="rId165" display="Открыть"/>
    <hyperlink ref="L91" r:id="rId166" display="Открыть"/>
    <hyperlink ref="K92" r:id="rId167" display="Открыть"/>
    <hyperlink ref="L92" r:id="rId168" display="Открыть"/>
    <hyperlink ref="K93" r:id="rId169" display="Открыть"/>
    <hyperlink ref="L93" r:id="rId170" display="Открыть"/>
    <hyperlink ref="K94" r:id="rId171" display="Открыть"/>
    <hyperlink ref="L94" r:id="rId172" display="Открыть"/>
    <hyperlink ref="K95" r:id="rId173" display="Открыть"/>
    <hyperlink ref="L95" r:id="rId174" display="Открыть"/>
    <hyperlink ref="K96" r:id="rId175" display="Открыть"/>
    <hyperlink ref="L96" r:id="rId176" display="Открыть"/>
    <hyperlink ref="K97" r:id="rId177" display="Открыть"/>
    <hyperlink ref="L97" r:id="rId178" display="Открыть"/>
    <hyperlink ref="K98" r:id="rId179" display="Открыть"/>
    <hyperlink ref="L98" r:id="rId180" display="Открыть"/>
    <hyperlink ref="K99" r:id="rId181" display="Открыть"/>
    <hyperlink ref="L99" r:id="rId182" display="Открыть"/>
    <hyperlink ref="K100" r:id="rId183" display="Открыть"/>
    <hyperlink ref="L100" r:id="rId184" display="Открыть"/>
    <hyperlink ref="K101" r:id="rId185" display="Открыть"/>
    <hyperlink ref="L101" r:id="rId186" display="Открыть"/>
    <hyperlink ref="K102" r:id="rId187" display="Открыть"/>
    <hyperlink ref="L102" r:id="rId188" display="Открыть"/>
    <hyperlink ref="K103" r:id="rId189" display="Открыть"/>
    <hyperlink ref="L103" r:id="rId190" display="Открыть"/>
    <hyperlink ref="K104" r:id="rId191" display="Открыть"/>
    <hyperlink ref="L104" r:id="rId192" display="Открыть"/>
    <hyperlink ref="K105" r:id="rId193" display="Открыть"/>
    <hyperlink ref="L105" r:id="rId194" display="Открыть"/>
    <hyperlink ref="K106" r:id="rId195" display="Открыть"/>
    <hyperlink ref="L106" r:id="rId196" display="Открыть"/>
    <hyperlink ref="K107" r:id="rId197" display="Открыть"/>
    <hyperlink ref="L107" r:id="rId198" display="Открыть"/>
    <hyperlink ref="K108" r:id="rId199" display="Открыть"/>
    <hyperlink ref="L108" r:id="rId200" display="Открыть"/>
    <hyperlink ref="K109" r:id="rId201" display="Открыть"/>
    <hyperlink ref="L109" r:id="rId202" display="Открыть"/>
    <hyperlink ref="K110" r:id="rId203" display="Открыть"/>
    <hyperlink ref="L110" r:id="rId204" display="Открыть"/>
    <hyperlink ref="K111" r:id="rId205" display="Открыть"/>
    <hyperlink ref="L111" r:id="rId206" display="Открыть"/>
    <hyperlink ref="K112" r:id="rId207" display="Открыть"/>
    <hyperlink ref="L112" r:id="rId208" display="Открыть"/>
    <hyperlink ref="K113" r:id="rId209" display="Открыть"/>
    <hyperlink ref="L113" r:id="rId210" display="Открыть"/>
    <hyperlink ref="K114" r:id="rId211" display="Открыть"/>
    <hyperlink ref="L114" r:id="rId212" display="Открыть"/>
    <hyperlink ref="K115" r:id="rId213" display="Открыть"/>
    <hyperlink ref="L115" r:id="rId214" display="Открыть"/>
    <hyperlink ref="K116" r:id="rId215" display="Открыть"/>
    <hyperlink ref="L116" r:id="rId216" display="Открыть"/>
    <hyperlink ref="K117" r:id="rId217" display="Открыть"/>
    <hyperlink ref="L117" r:id="rId218" display="Открыть"/>
    <hyperlink ref="K118" r:id="rId219" display="Открыть"/>
    <hyperlink ref="L118" r:id="rId220" display="Открыть"/>
    <hyperlink ref="K119" r:id="rId221" display="Открыть"/>
    <hyperlink ref="L119" r:id="rId222" display="Открыть"/>
    <hyperlink ref="K120" r:id="rId223" display="Открыть"/>
    <hyperlink ref="L120" r:id="rId224" display="Открыть"/>
    <hyperlink ref="K121" r:id="rId225" display="Открыть"/>
    <hyperlink ref="L121" r:id="rId226" display="Открыть"/>
    <hyperlink ref="K122" r:id="rId227" display="Открыть"/>
    <hyperlink ref="L122" r:id="rId228" display="Открыть"/>
    <hyperlink ref="K123" r:id="rId229" display="Открыть"/>
    <hyperlink ref="L123" r:id="rId230" display="Открыть"/>
    <hyperlink ref="K124" r:id="rId231" display="Открыть"/>
    <hyperlink ref="L124" r:id="rId232" display="Открыть"/>
    <hyperlink ref="K125" r:id="rId233" display="Открыть"/>
    <hyperlink ref="L125" r:id="rId234" display="Открыть"/>
    <hyperlink ref="K126" r:id="rId235" display="Открыть"/>
    <hyperlink ref="L126" r:id="rId236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2026-07-17T13:58:46Z</dcterms:created>
  <dc:creator>openpyxl</dc:creator>
  <dc:description/>
  <dc:language>ru-RU</dc:language>
  <cp:lastModifiedBy/>
  <dcterms:modified xsi:type="dcterms:W3CDTF">2026-07-17T13:58:46Z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