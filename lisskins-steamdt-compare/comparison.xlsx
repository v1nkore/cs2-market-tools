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<sst xmlns="http://schemas.openxmlformats.org/spreadsheetml/2006/main" count="410" uniqueCount="168">
  <si>
    <t>Сравнение цен LIS-SKINS vs SteamDT (Steam/BUFF/YouPin), обновлено 28.09.2026 16:49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</si>
  <si>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</si>
  <si>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</si>
  <si>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</si>
  <si>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</si>
  <si>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</si>
  <si>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</si>
  <si>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</si>
  <si>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</si>
  <si>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</si>
  <si>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</si>
  <si>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</si>
  <si>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</si>
  <si>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</si>
  <si>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</si>
  <si>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</si>
  <si>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</si>
  <si>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FAMAS | Waters of Nephthys (Minimal Wear)</t>
  </si>
  <si>
    <t>Rifle</t>
  </si>
  <si>
    <t>Classified</t>
  </si>
  <si>
    <t>AWP | Containment Breach (Field-Tested)</t>
  </si>
  <si>
    <t>Sniper Rifle</t>
  </si>
  <si>
    <t>Covert</t>
  </si>
  <si>
    <t>MP9 | Dark Age (Factory New)</t>
  </si>
  <si>
    <t>SMG</t>
  </si>
  <si>
    <t>Mil-Spec Grade</t>
  </si>
  <si>
    <t>AK-47 | Legion of Anubis (Factory New)</t>
  </si>
  <si>
    <t>USP-S | Orion (Minimal Wear)</t>
  </si>
  <si>
    <t>Pistol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</si>
  <si>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</si>
  <si>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</si>
  <si>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</si>
  <si>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</si>
  <si>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</si>
  <si>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MP9 | Hydra (Factory New)</t>
  </si>
  <si>
    <t>Desert Eagle | Starcade (Field-Tested)</t>
  </si>
  <si>
    <t>P250 | Apep's Curse (Field-Tested)</t>
  </si>
  <si>
    <t>FAMAS | Waters of Nephthys (Field-Tested)</t>
  </si>
  <si>
    <t>SCAR-20 | Cyrex (Factory New)</t>
  </si>
  <si>
    <t>CZ75-Auto | Emerald (Factory New)</t>
  </si>
  <si>
    <t>Dual Berettas | Emerald (Factory New)</t>
  </si>
  <si>
    <t>M4A4 | Polysoup (Factory New)</t>
  </si>
  <si>
    <t>Restricted</t>
  </si>
  <si>
    <t>Sticker | Liquid Fire</t>
  </si>
  <si>
    <t>Sticker</t>
  </si>
  <si>
    <t>High Grade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</si>
  <si>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</si>
  <si>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</si>
  <si>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</si>
  <si>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</si>
  <si>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</si>
  <si>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</si>
  <si>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Galil AR | Amber Fade (Factory New)</t>
  </si>
  <si>
    <t>SG 553 | Integrale (Minimal Wear)</t>
  </si>
  <si>
    <t>FAMAS | Styx (Minimal Wear)</t>
  </si>
  <si>
    <t>Safecracker Voltzmann | The Professionals</t>
  </si>
  <si>
    <t>M4A4 | Polysoup (Minimal Wear)</t>
  </si>
  <si>
    <t>Glock-18 | Ramese's Reach (Minimal Wear)</t>
  </si>
  <si>
    <t>Nova | Sobek's Bite (Factory New)</t>
  </si>
  <si>
    <t>Shotgun</t>
  </si>
  <si>
    <t>MP9 | Music Box (Factory New)</t>
  </si>
  <si>
    <t>Tec-9 | Brass (Minimal Wear)</t>
  </si>
  <si>
    <t>Nova | Sobek's Bite (Minimal Wear)</t>
  </si>
  <si>
    <t>Five-SeveN | Copper Galaxy (Minimal Wear)</t>
  </si>
  <si>
    <t>'The Doctor' Romanov | Sabre</t>
  </si>
  <si>
    <t>Master</t>
  </si>
  <si>
    <t>Sticker | Great Wave (Foil)</t>
  </si>
  <si>
    <t>Exotic</t>
  </si>
  <si>
    <t>Michael Syfers  | FBI Sniper</t>
  </si>
  <si>
    <t>M4A4 | Evil Daimyo (Factory New)</t>
  </si>
  <si>
    <t>Sticker | Movistar Riders (Holo) | Stockholm 2021</t>
  </si>
  <si>
    <t>Remarkable</t>
  </si>
  <si>
    <t>SG 553 | Candy Apple (Factory New)</t>
  </si>
  <si>
    <t>Industrial Grade</t>
  </si>
  <si>
    <t>The Elite Mr. Muhlik | Elite Crew</t>
  </si>
  <si>
    <t>AWP | Exoskeleton (Minimal Wear)</t>
  </si>
  <si>
    <t>Sticker | Cloud9 (Holo) | Antwerp 2022</t>
  </si>
  <si>
    <t>Osiris | Elite Crew</t>
  </si>
  <si>
    <t>Exceptional</t>
  </si>
  <si>
    <t>P250 | Epicenter (Minimal Wear)</t>
  </si>
  <si>
    <t>FAMAS | Styx (Field-Tested)</t>
  </si>
  <si>
    <t>Glock-18 | Ramese's Reach (Field-Tested)</t>
  </si>
  <si>
    <t>B Squadron Officer | SAS</t>
  </si>
  <si>
    <t>Distinguished</t>
  </si>
  <si>
    <t>USP-S | Guardian (Factory New)</t>
  </si>
  <si>
    <t>Markus Delrow | FBI HRT</t>
  </si>
  <si>
    <t>AUG | Carved Jade (Minimal Wear)</t>
  </si>
  <si>
    <t>MP7 | Fade (Minimal Wear)</t>
  </si>
  <si>
    <t>Sticker | 9z Team (Holo) | Antwerp 2022</t>
  </si>
  <si>
    <t>Sticker | Great Wave (Holo)</t>
  </si>
  <si>
    <t>SSG 08 | Rapid Transit (Factory New)</t>
  </si>
  <si>
    <t>MP7 | Fade (Field-Tested)</t>
  </si>
  <si>
    <t>Slingshot | Phoenix</t>
  </si>
  <si>
    <t>Blackwolf | Sabre</t>
  </si>
  <si>
    <t>Five-SeveN | Kami (Factory New)</t>
  </si>
  <si>
    <t>SG 553 | Integrale (Field-Tested)</t>
  </si>
  <si>
    <t>Rezan The Ready | Sabre</t>
  </si>
  <si>
    <t>Prof. Shahmat | Elite Crew</t>
  </si>
  <si>
    <t>Rezan the Redshirt | Sabre</t>
  </si>
  <si>
    <t>Sticker | Copenhagen Flames (Holo) | Stockholm 2021</t>
  </si>
  <si>
    <t>Sticker | Entropiq (Holo) | Stockholm 2021</t>
  </si>
  <si>
    <t>AK-47 | Slate (Minimal Wear)</t>
  </si>
  <si>
    <t>Sticker | Team Spirit (Holo) | Stockholm 2021</t>
  </si>
  <si>
    <t>Maximus | Sabre</t>
  </si>
  <si>
    <t>Sticker | Outsiders (Holo) | Antwerp 2022</t>
  </si>
  <si>
    <t>Dragomir | Sabre</t>
  </si>
  <si>
    <t>AK-47 | Crossfade (Factory New)</t>
  </si>
  <si>
    <t>Sticker | Sharks Esports (Holo) | Stockholm 2021</t>
  </si>
  <si>
    <t>Sticker | BIG (Holo) | Stockholm 2021</t>
  </si>
  <si>
    <t>XM1014 | Black Tie (Factory New)</t>
  </si>
  <si>
    <t>Sticker | Virtus.Pro (Holo) | Stockholm 2021</t>
  </si>
  <si>
    <t>Five-SeveN | Boost Protocol (Minimal Wear)</t>
  </si>
  <si>
    <t>AK-47 | Phantom Disruptor (Field-Tested)</t>
  </si>
  <si>
    <t>MAC-10 | Strats (Factory New)</t>
  </si>
  <si>
    <t>Consumer Grade</t>
  </si>
  <si>
    <t>Sticker | Team Spirit (Holo) | Shanghai 2024</t>
  </si>
  <si>
    <t>Sticker | Copenhagen Flames (Holo) | Antwerp 2022</t>
  </si>
  <si>
    <t>Sticker | FURIA (Holo) | Stockholm 2021</t>
  </si>
  <si>
    <t>Sticker | Evil Geniuses (Holo) | Stockholm 2021</t>
  </si>
  <si>
    <t>Sticker | GODSENT (Holo) | Stockholm 2021</t>
  </si>
  <si>
    <t>Tec-9 | Brass (Field-Tested)</t>
  </si>
  <si>
    <t>CZ75-Auto | Tacticat (Factory New)</t>
  </si>
  <si>
    <t>Sticker | Team Spirit (Holo) | Antwerp 2022</t>
  </si>
  <si>
    <t>Sticker | Gold Web (Foil)</t>
  </si>
  <si>
    <t>AWP | Black Nile (Minimal Wear)</t>
  </si>
  <si>
    <t>R8 Revolver | Blaze (Factory New)</t>
  </si>
  <si>
    <t>Sticker | Stone Scales (Foil)</t>
  </si>
  <si>
    <t>P250 | Epicenter (Field-Tested)</t>
  </si>
  <si>
    <t>Sticker | Imperial Esports (Holo) | Antwerp 2022</t>
  </si>
  <si>
    <t>Sticker | Renegades (Holo) | Stockholm 2021</t>
  </si>
  <si>
    <t>Sticker | Astralis (Holo) | Stockholm 2021</t>
  </si>
  <si>
    <t>AK-47 | Slate (Field-Tested)</t>
  </si>
  <si>
    <t>Sticker | Wildcard (Holo) | Shanghai 2024</t>
  </si>
  <si>
    <t>Sticker | paiN Gaming (Holo) | Stockholm 2021</t>
  </si>
  <si>
    <t>Sticker | Gambit Gaming (Holo) | Stockholm 2021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</si>
  <si>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</si>
  <si>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</si>
  <si>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</si>
  <si>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</si>
  <si>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Fnatic (Holo) | Shanghai 2024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</si>
  <si>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</si>
  <si>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</si>
  <si>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</si>
  <si>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</si>
  <si>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AK-47 | Crossfade (Minimal Wear)</t>
  </si>
  <si>
    <t>Five-SeveN | Kami (Minimal Wear)</t>
  </si>
  <si>
    <t>Sticker | Vitality (Holo) | Stockholm 2021</t>
  </si>
  <si>
    <t>Sticker | Heroic (Holo) | Stockholm 2021</t>
  </si>
  <si>
    <t>P2000 | Amber Fade (Factory New)</t>
  </si>
  <si>
    <t>Five-SeveN | Retrobution (Minimal Wear)</t>
  </si>
  <si>
    <t>Dual Berettas | Hydro Strike (Minimal Wear)</t>
  </si>
  <si>
    <t>Sticker | Natus Vincere (Holo) | Stockholm 2021</t>
  </si>
  <si>
    <t>MAG-7 | BI83 Spectrum (Minimal Wear)</t>
  </si>
  <si>
    <t>CZ75-Auto | Tuxedo (Factory New)</t>
  </si>
  <si>
    <t>Sticker | forZe eSports (Holo) | Antwerp 2022</t>
  </si>
  <si>
    <t>SSG 08 | Ghost Crusader (Minimal Wear)</t>
  </si>
  <si>
    <t>Sticker | Broken Fang (Holo)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</si>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</sst>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6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84.3414</v>
      </c>
      <c r="C3" t="s">
        <v>3</v>
      </c>
      <c r="D3" t="s">
        <v>4</v>
      </c>
      <c r="E3">
        <v>12.6263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71</v>
      </c>
      <c r="C6">
        <v>66.95</v>
      </c>
      <c r="D6">
        <f>C6*$B$3</f>
      </c>
      <c r="E6">
        <v>8172.75</v>
      </c>
      <c r="F6">
        <v>5667.95</v>
      </c>
      <c r="G6">
        <v>5492.44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288</v>
      </c>
      <c r="C7">
        <v>65.41</v>
      </c>
      <c r="D7">
        <f>C7*$B$3</f>
      </c>
      <c r="E7">
        <v>7670.48</v>
      </c>
      <c r="F7">
        <v>5075.77</v>
      </c>
      <c r="G7">
        <v>5227.29</v>
      </c>
      <c r="H7">
        <f>MIN(E7:G7)</f>
      </c>
      <c r="I7">
        <f>H7-D7</f>
      </c>
      <c r="J7" s="2">
        <f>IF(D7=0,"",(H7-D7)/D7)</f>
      </c>
      <c r="K7" t="s">
        <v>21</v>
      </c>
      <c r="L7" t="s">
        <v>22</v>
      </c>
    </row>
    <row r="8" spans="1:12" x14ac:dyDescent="0.25">
      <c r="A8" t="s">
        <v>23</v>
      </c>
      <c r="B8">
        <v>33</v>
      </c>
      <c r="C8">
        <v>79.32</v>
      </c>
      <c r="D8">
        <f>C8*$B$3</f>
      </c>
      <c r="E8">
        <v>8656.47</v>
      </c>
      <c r="F8">
        <v>6626.28</v>
      </c>
      <c r="G8">
        <v>6294.21</v>
      </c>
      <c r="H8">
        <f>MIN(E8:G8)</f>
      </c>
      <c r="I8">
        <f>H8-D8</f>
      </c>
      <c r="J8" s="2">
        <f>IF(D8=0,"",(H8-D8)/D8)</f>
      </c>
      <c r="K8" t="s">
        <v>24</v>
      </c>
      <c r="L8" t="s">
        <v>25</v>
      </c>
    </row>
    <row r="9" spans="1:12" x14ac:dyDescent="0.25">
      <c r="A9" t="s">
        <v>26</v>
      </c>
      <c r="B9">
        <v>233</v>
      </c>
      <c r="C9">
        <v>51.57</v>
      </c>
      <c r="D9">
        <f>C9*$B$3</f>
      </c>
      <c r="E9">
        <v>5792.95</v>
      </c>
      <c r="F9">
        <v>4431.83</v>
      </c>
      <c r="G9">
        <v>4412.89</v>
      </c>
      <c r="H9">
        <f>MIN(E9:G9)</f>
      </c>
      <c r="I9">
        <f>H9-D9</f>
      </c>
      <c r="J9" s="2">
        <f>IF(D9=0,"",(H9-D9)/D9)</f>
      </c>
      <c r="K9" t="s">
        <v>18</v>
      </c>
      <c r="L9" t="s">
        <v>22</v>
      </c>
    </row>
    <row r="10" spans="1:12" x14ac:dyDescent="0.25">
      <c r="A10" t="s">
        <v>27</v>
      </c>
      <c r="B10">
        <v>227</v>
      </c>
      <c r="C10">
        <v>45.64</v>
      </c>
      <c r="D10">
        <f>C10*$B$3</f>
      </c>
      <c r="E10">
        <v>5012.39</v>
      </c>
      <c r="F10">
        <v>3825.77</v>
      </c>
      <c r="G10">
        <v>3712.13</v>
      </c>
      <c r="H10">
        <f>MIN(E10:G10)</f>
      </c>
      <c r="I10">
        <f>H10-D10</f>
      </c>
      <c r="J10" s="2">
        <f>IF(D10=0,"",(H10-D10)/D10)</f>
      </c>
      <c r="K10" t="s">
        <v>28</v>
      </c>
      <c r="L10" t="s">
        <v>19</v>
      </c>
    </row>
    <row r="11" spans="1:12" x14ac:dyDescent="0.25">
      <c r="A11" t="s">
        <v>29</v>
      </c>
      <c r="B11">
        <v>282</v>
      </c>
      <c r="C11">
        <v>42.37</v>
      </c>
      <c r="D11">
        <f>C11*$B$3</f>
      </c>
      <c r="E11">
        <v>4352.41</v>
      </c>
      <c r="F11">
        <v>3320.34</v>
      </c>
      <c r="G11">
        <v>3356.07</v>
      </c>
      <c r="H11">
        <f>MIN(E11:G11)</f>
      </c>
      <c r="I11">
        <f>H11-D11</f>
      </c>
      <c r="J11" s="2">
        <f>IF(D11=0,"",(H11-D11)/D11)</f>
      </c>
      <c r="K11" t="s">
        <v>28</v>
      </c>
      <c r="L11" t="s">
        <v>19</v>
      </c>
    </row>
    <row r="12" spans="1:12" x14ac:dyDescent="0.25">
      <c r="A12" t="s">
        <v>30</v>
      </c>
      <c r="B12">
        <v>411</v>
      </c>
      <c r="C12">
        <v>39.94</v>
      </c>
      <c r="D12">
        <f>C12*$B$3</f>
      </c>
      <c r="E12">
        <v>4197.99</v>
      </c>
      <c r="F12">
        <v>3301.4</v>
      </c>
      <c r="G12">
        <v>3290.16</v>
      </c>
      <c r="H12">
        <f>MIN(E12:G12)</f>
      </c>
      <c r="I12">
        <f>H12-D12</f>
      </c>
      <c r="J12" s="2">
        <f>IF(D12=0,"",(H12-D12)/D12)</f>
      </c>
      <c r="K12" t="s">
        <v>24</v>
      </c>
      <c r="L12" t="s">
        <v>25</v>
      </c>
    </row>
    <row r="13" spans="1:12" x14ac:dyDescent="0.25">
      <c r="A13" t="s">
        <v>31</v>
      </c>
      <c r="B13">
        <v>285</v>
      </c>
      <c r="C13">
        <v>50.52</v>
      </c>
      <c r="D13">
        <f>C13*$B$3</f>
      </c>
      <c r="E13">
        <v>5938.91</v>
      </c>
      <c r="F13">
        <v>4071.98</v>
      </c>
      <c r="G13">
        <v>4071.98</v>
      </c>
      <c r="H13">
        <f>MIN(E13:G13)</f>
      </c>
      <c r="I13">
        <f>H13-D13</f>
      </c>
      <c r="J13" s="2">
        <f>IF(D13=0,"",(H13-D13)/D13)</f>
      </c>
      <c r="K13" t="s">
        <v>21</v>
      </c>
      <c r="L13" t="s">
        <v>22</v>
      </c>
    </row>
    <row r="14" spans="1:12" x14ac:dyDescent="0.25">
      <c r="A14" t="s">
        <v>32</v>
      </c>
      <c r="B14">
        <v>228</v>
      </c>
      <c r="C14">
        <v>45.03</v>
      </c>
      <c r="D14">
        <f>C14*$B$3</f>
      </c>
      <c r="E14">
        <v>5429.06</v>
      </c>
      <c r="F14">
        <v>3876.27</v>
      </c>
      <c r="G14">
        <v>3821.98</v>
      </c>
      <c r="H14">
        <f>MIN(E14:G14)</f>
      </c>
      <c r="I14">
        <f>H14-D14</f>
      </c>
      <c r="J14" s="2">
        <f>IF(D14=0,"",(H14-D14)/D14)</f>
      </c>
      <c r="K14" t="s">
        <v>18</v>
      </c>
      <c r="L14" t="s">
        <v>22</v>
      </c>
    </row>
    <row r="15" spans="1:12" x14ac:dyDescent="0.25">
      <c r="A15" t="s">
        <v>33</v>
      </c>
      <c r="B15">
        <v>137</v>
      </c>
      <c r="C15">
        <v>47.56</v>
      </c>
      <c r="D15">
        <f>C15*$B$3</f>
      </c>
      <c r="E15">
        <v>5303.42</v>
      </c>
      <c r="F15">
        <v>3825.77</v>
      </c>
      <c r="G15">
        <v>3995.59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22</v>
      </c>
    </row>
    <row r="16" spans="1:12" x14ac:dyDescent="0.25">
      <c r="A16" t="s">
        <v>34</v>
      </c>
      <c r="B16">
        <v>94</v>
      </c>
      <c r="C16">
        <v>42.41</v>
      </c>
      <c r="D16">
        <f>C16*$B$3</f>
      </c>
      <c r="E16">
        <v>5457.84</v>
      </c>
      <c r="F16">
        <v>3591.8</v>
      </c>
      <c r="G16">
        <v>3415.41</v>
      </c>
      <c r="H16">
        <f>MIN(E16:G16)</f>
      </c>
      <c r="I16">
        <f>H16-D16</f>
      </c>
      <c r="J16" s="2">
        <f>IF(D16=0,"",(H16-D16)/D16)</f>
      </c>
      <c r="K16" t="s">
        <v>24</v>
      </c>
      <c r="L16" t="s">
        <v>19</v>
      </c>
    </row>
    <row r="17" spans="1:12" x14ac:dyDescent="0.25">
      <c r="A17" t="s">
        <v>35</v>
      </c>
      <c r="B17">
        <v>221</v>
      </c>
      <c r="C17">
        <v>36.65</v>
      </c>
      <c r="D17">
        <f>C17*$B$3</f>
      </c>
      <c r="E17">
        <v>4326.02</v>
      </c>
      <c r="F17">
        <v>3028.67</v>
      </c>
      <c r="G17">
        <v>2929.3</v>
      </c>
      <c r="H17">
        <f>MIN(E17:G17)</f>
      </c>
      <c r="I17">
        <f>H17-D17</f>
      </c>
      <c r="J17" s="2">
        <f>IF(D17=0,"",(H17-D17)/D17)</f>
      </c>
      <c r="K17" t="s">
        <v>28</v>
      </c>
      <c r="L17" t="s">
        <v>19</v>
      </c>
    </row>
    <row r="18" spans="1:12" x14ac:dyDescent="0.25">
      <c r="A18" t="s">
        <v>36</v>
      </c>
      <c r="B18">
        <v>72</v>
      </c>
      <c r="C18">
        <v>43.47</v>
      </c>
      <c r="D18">
        <f>C18*$B$3</f>
      </c>
      <c r="E18">
        <v>6341.94</v>
      </c>
      <c r="F18">
        <v>3613.65</v>
      </c>
      <c r="G18">
        <v>3489.91</v>
      </c>
      <c r="H18">
        <f>MIN(E18:G18)</f>
      </c>
      <c r="I18">
        <f>H18-D18</f>
      </c>
      <c r="J18" s="2">
        <f>IF(D18=0,"",(H18-D18)/D18)</f>
      </c>
      <c r="K18" t="s">
        <v>28</v>
      </c>
      <c r="L18" t="s">
        <v>19</v>
      </c>
    </row>
    <row r="19" spans="1:12" x14ac:dyDescent="0.25">
      <c r="A19" t="s">
        <v>37</v>
      </c>
      <c r="B19">
        <v>90</v>
      </c>
      <c r="C19">
        <v>41.31</v>
      </c>
      <c r="D19">
        <f>C19*$B$3</f>
      </c>
      <c r="E19">
        <v>4360.87</v>
      </c>
      <c r="F19">
        <v>3368.82</v>
      </c>
      <c r="G19">
        <v>3363.02</v>
      </c>
      <c r="H19">
        <f>MIN(E19:G19)</f>
      </c>
      <c r="I19">
        <f>H19-D19</f>
      </c>
      <c r="J19" s="2">
        <f>IF(D19=0,"",(H19-D19)/D19)</f>
      </c>
      <c r="K19" t="s">
        <v>18</v>
      </c>
      <c r="L19" t="s">
        <v>19</v>
      </c>
    </row>
    <row r="20" spans="1:12" x14ac:dyDescent="0.25">
      <c r="A20" t="s">
        <v>38</v>
      </c>
      <c r="B20">
        <v>73</v>
      </c>
      <c r="C20">
        <v>28.83</v>
      </c>
      <c r="D20">
        <f>C20*$B$3</f>
      </c>
      <c r="E20">
        <v>3584.48</v>
      </c>
      <c r="F20">
        <v>2882.58</v>
      </c>
      <c r="G20">
        <v>2605.82</v>
      </c>
      <c r="H20">
        <f>MIN(E20:G20)</f>
      </c>
      <c r="I20">
        <f>H20-D20</f>
      </c>
      <c r="J20" s="2">
        <f>IF(D20=0,"",(H20-D20)/D20)</f>
      </c>
      <c r="K20" t="s">
        <v>21</v>
      </c>
      <c r="L20" t="s">
        <v>19</v>
      </c>
    </row>
    <row r="21" spans="1:12" x14ac:dyDescent="0.25">
      <c r="A21" t="s">
        <v>39</v>
      </c>
      <c r="B21">
        <v>114</v>
      </c>
      <c r="C21">
        <v>26.4</v>
      </c>
      <c r="D21">
        <f>C21*$B$3</f>
      </c>
      <c r="E21">
        <v>2871.85</v>
      </c>
      <c r="F21">
        <v>2152.15</v>
      </c>
      <c r="G21">
        <v>2167.94</v>
      </c>
      <c r="H21">
        <f>MIN(E21:G21)</f>
      </c>
      <c r="I21">
        <f>H21-D21</f>
      </c>
      <c r="J21" s="2">
        <f>IF(D21=0,"",(H21-D21)/D21)</f>
      </c>
      <c r="K21" t="s">
        <v>28</v>
      </c>
      <c r="L21" t="s">
        <v>25</v>
      </c>
    </row>
    <row r="22" spans="1:12" x14ac:dyDescent="0.25">
      <c r="A22" t="s">
        <v>40</v>
      </c>
      <c r="B22">
        <v>129</v>
      </c>
      <c r="C22">
        <v>30.55</v>
      </c>
      <c r="D22">
        <f>C22*$B$3</f>
      </c>
      <c r="E22">
        <v>3596.35</v>
      </c>
      <c r="F22">
        <v>2487.25</v>
      </c>
      <c r="G22">
        <v>2671.73</v>
      </c>
      <c r="H22">
        <f>MIN(E22:G22)</f>
      </c>
      <c r="I22">
        <f>H22-D22</f>
      </c>
      <c r="J22" s="2">
        <f>IF(D22=0,"",(H22-D22)/D22)</f>
      </c>
      <c r="K22" t="s">
        <v>28</v>
      </c>
      <c r="L22" t="s">
        <v>25</v>
      </c>
    </row>
    <row r="23" spans="1:12" x14ac:dyDescent="0.25">
      <c r="A23" t="s">
        <v>41</v>
      </c>
      <c r="B23">
        <v>429</v>
      </c>
      <c r="C23">
        <v>22.37</v>
      </c>
      <c r="D23">
        <f>C23*$B$3</f>
      </c>
      <c r="E23">
        <v>2375.51</v>
      </c>
      <c r="F23">
        <v>1742.43</v>
      </c>
      <c r="G23">
        <v>1723.49</v>
      </c>
      <c r="H23">
        <f>MIN(E23:G23)</f>
      </c>
      <c r="I23">
        <f>H23-D23</f>
      </c>
      <c r="J23" s="2">
        <f>IF(D23=0,"",(H23-D23)/D23)</f>
      </c>
      <c r="K23" t="s">
        <v>18</v>
      </c>
      <c r="L23" t="s">
        <v>42</v>
      </c>
    </row>
    <row r="24" spans="1:12" x14ac:dyDescent="0.25">
      <c r="A24" t="s">
        <v>43</v>
      </c>
      <c r="B24">
        <v>12</v>
      </c>
      <c r="C24">
        <v>5.04</v>
      </c>
      <c r="D24">
        <f>C24*$B$3</f>
      </c>
      <c r="E24">
        <v>684.6</v>
      </c>
      <c r="F24">
        <v>458.21</v>
      </c>
      <c r="G24">
        <v>517.68</v>
      </c>
      <c r="H24">
        <f>MIN(E24:G24)</f>
      </c>
      <c r="I24">
        <f>H24-D24</f>
      </c>
      <c r="J24" s="2">
        <f>IF(D24=0,"",(H24-D24)/D24)</f>
      </c>
      <c r="K24" t="s">
        <v>44</v>
      </c>
      <c r="L24" t="s">
        <v>45</v>
      </c>
    </row>
    <row r="25" spans="1:12" x14ac:dyDescent="0.25">
      <c r="A25" t="s">
        <v>46</v>
      </c>
      <c r="B25">
        <v>134</v>
      </c>
      <c r="C25">
        <v>24.89</v>
      </c>
      <c r="D25">
        <f>C25*$B$3</f>
      </c>
      <c r="E25">
        <v>2899.88</v>
      </c>
      <c r="F25">
        <v>2058.09</v>
      </c>
      <c r="G25">
        <v>2056.82</v>
      </c>
      <c r="H25">
        <f>MIN(E25:G25)</f>
      </c>
      <c r="I25">
        <f>H25-D25</f>
      </c>
      <c r="J25" s="2">
        <f>IF(D25=0,"",(H25-D25)/D25)</f>
      </c>
      <c r="K25" t="s">
        <v>18</v>
      </c>
      <c r="L25" t="s">
        <v>42</v>
      </c>
    </row>
    <row r="26" spans="1:12" x14ac:dyDescent="0.25">
      <c r="A26" t="s">
        <v>47</v>
      </c>
      <c r="B26">
        <v>442</v>
      </c>
      <c r="C26">
        <v>18.48</v>
      </c>
      <c r="D26">
        <f>C26*$B$3</f>
      </c>
      <c r="E26">
        <v>1951.27</v>
      </c>
      <c r="F26">
        <v>1452.02</v>
      </c>
      <c r="G26">
        <v>1452.02</v>
      </c>
      <c r="H26">
        <f>MIN(E26:G26)</f>
      </c>
      <c r="I26">
        <f>H26-D26</f>
      </c>
      <c r="J26" s="2">
        <f>IF(D26=0,"",(H26-D26)/D26)</f>
      </c>
      <c r="K26" t="s">
        <v>21</v>
      </c>
      <c r="L26" t="s">
        <v>19</v>
      </c>
    </row>
    <row r="27" spans="1:12" x14ac:dyDescent="0.25">
      <c r="A27" t="s">
        <v>48</v>
      </c>
      <c r="B27">
        <v>319</v>
      </c>
      <c r="C27">
        <v>16.78</v>
      </c>
      <c r="D27">
        <f>C27*$B$3</f>
      </c>
      <c r="E27">
        <v>1800.26</v>
      </c>
      <c r="F27">
        <v>1309.22</v>
      </c>
      <c r="G27">
        <v>1325.76</v>
      </c>
      <c r="H27">
        <f>MIN(E27:G27)</f>
      </c>
      <c r="I27">
        <f>H27-D27</f>
      </c>
      <c r="J27" s="2">
        <f>IF(D27=0,"",(H27-D27)/D27)</f>
      </c>
      <c r="K27" t="s">
        <v>24</v>
      </c>
      <c r="L27" t="s">
        <v>25</v>
      </c>
    </row>
    <row r="28" spans="1:12" x14ac:dyDescent="0.25">
      <c r="A28" t="s">
        <v>49</v>
      </c>
      <c r="B28">
        <v>261</v>
      </c>
      <c r="C28">
        <v>18.98</v>
      </c>
      <c r="D28">
        <f>C28*$B$3</f>
      </c>
      <c r="E28">
        <v>2299.12</v>
      </c>
      <c r="F28">
        <v>1533.97</v>
      </c>
      <c r="G28">
        <v>1526.52</v>
      </c>
      <c r="H28">
        <f>MIN(E28:G28)</f>
      </c>
      <c r="I28">
        <f>H28-D28</f>
      </c>
      <c r="J28" s="2">
        <f>IF(D28=0,"",(H28-D28)/D28)</f>
      </c>
      <c r="K28" t="s">
        <v>50</v>
      </c>
      <c r="L28" t="s">
        <v>51</v>
      </c>
    </row>
    <row r="29" spans="1:12" x14ac:dyDescent="0.25">
      <c r="A29" t="s">
        <v>52</v>
      </c>
      <c r="B29">
        <v>201</v>
      </c>
      <c r="C29">
        <v>17.43</v>
      </c>
      <c r="D29">
        <f>C29*$B$3</f>
      </c>
      <c r="E29">
        <v>2108.21</v>
      </c>
      <c r="F29">
        <v>1450.51</v>
      </c>
      <c r="G29">
        <v>1414.15</v>
      </c>
      <c r="H29">
        <f>MIN(E29:G29)</f>
      </c>
      <c r="I29">
        <f>H29-D29</f>
      </c>
      <c r="J29" s="2">
        <f>IF(D29=0,"",(H29-D29)/D29)</f>
      </c>
      <c r="K29" t="s">
        <v>18</v>
      </c>
      <c r="L29" t="s">
        <v>25</v>
      </c>
    </row>
    <row r="30" spans="1:12" x14ac:dyDescent="0.25">
      <c r="A30" t="s">
        <v>53</v>
      </c>
      <c r="B30">
        <v>235</v>
      </c>
      <c r="C30">
        <v>16.41</v>
      </c>
      <c r="D30">
        <f>C30*$B$3</f>
      </c>
      <c r="E30">
        <v>1875.01</v>
      </c>
      <c r="F30">
        <v>1351.01</v>
      </c>
      <c r="G30">
        <v>1337</v>
      </c>
      <c r="H30">
        <f>MIN(E30:G30)</f>
      </c>
      <c r="I30">
        <f>H30-D30</f>
      </c>
      <c r="J30" s="2">
        <f>IF(D30=0,"",(H30-D30)/D30)</f>
      </c>
      <c r="K30" t="s">
        <v>18</v>
      </c>
      <c r="L30" t="s">
        <v>19</v>
      </c>
    </row>
    <row r="31" spans="1:12" x14ac:dyDescent="0.25">
      <c r="A31" t="s">
        <v>54</v>
      </c>
      <c r="B31">
        <v>67</v>
      </c>
      <c r="C31">
        <v>17.11</v>
      </c>
      <c r="D31">
        <f>C31*$B$3</f>
      </c>
      <c r="E31">
        <v>1723.11</v>
      </c>
      <c r="F31">
        <v>1325.76</v>
      </c>
      <c r="G31">
        <v>1375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42</v>
      </c>
    </row>
    <row r="32" spans="1:12" x14ac:dyDescent="0.25">
      <c r="A32" t="s">
        <v>55</v>
      </c>
      <c r="B32">
        <v>610</v>
      </c>
      <c r="C32">
        <v>16.02</v>
      </c>
      <c r="D32">
        <f>C32*$B$3</f>
      </c>
      <c r="E32">
        <v>1769.7</v>
      </c>
      <c r="F32">
        <v>1275.26</v>
      </c>
      <c r="G32">
        <v>1267.68</v>
      </c>
      <c r="H32">
        <f>MIN(E32:G32)</f>
      </c>
      <c r="I32">
        <f>H32-D32</f>
      </c>
      <c r="J32" s="2">
        <f>IF(D32=0,"",(H32-D32)/D32)</f>
      </c>
      <c r="K32" t="s">
        <v>50</v>
      </c>
      <c r="L32" t="s">
        <v>51</v>
      </c>
    </row>
    <row r="33" spans="1:12" x14ac:dyDescent="0.25">
      <c r="A33" t="s">
        <v>56</v>
      </c>
      <c r="B33">
        <v>187</v>
      </c>
      <c r="C33">
        <v>12.86</v>
      </c>
      <c r="D33">
        <f>C33*$B$3</f>
      </c>
      <c r="E33">
        <v>1611.12</v>
      </c>
      <c r="F33">
        <v>1007.33</v>
      </c>
      <c r="G33">
        <v>994.83</v>
      </c>
      <c r="H33">
        <f>MIN(E33:G33)</f>
      </c>
      <c r="I33">
        <f>H33-D33</f>
      </c>
      <c r="J33" s="2">
        <f>IF(D33=0,"",(H33-D33)/D33)</f>
      </c>
      <c r="K33" t="s">
        <v>18</v>
      </c>
      <c r="L33" t="s">
        <v>42</v>
      </c>
    </row>
    <row r="34" spans="1:12" x14ac:dyDescent="0.25">
      <c r="A34" t="s">
        <v>57</v>
      </c>
      <c r="B34">
        <v>264</v>
      </c>
      <c r="C34">
        <v>15.12</v>
      </c>
      <c r="D34">
        <f>C34*$B$3</f>
      </c>
      <c r="E34">
        <v>1924.12</v>
      </c>
      <c r="F34">
        <v>1239.78</v>
      </c>
      <c r="G34">
        <v>1196.97</v>
      </c>
      <c r="H34">
        <f>MIN(E34:G34)</f>
      </c>
      <c r="I34">
        <f>H34-D34</f>
      </c>
      <c r="J34" s="2">
        <f>IF(D34=0,"",(H34-D34)/D34)</f>
      </c>
      <c r="K34" t="s">
        <v>28</v>
      </c>
      <c r="L34" t="s">
        <v>42</v>
      </c>
    </row>
    <row r="35" spans="1:12" x14ac:dyDescent="0.25">
      <c r="A35" t="s">
        <v>58</v>
      </c>
      <c r="B35">
        <v>57</v>
      </c>
      <c r="C35">
        <v>13.64</v>
      </c>
      <c r="D35">
        <f>C35*$B$3</f>
      </c>
      <c r="E35">
        <v>1632.33</v>
      </c>
      <c r="F35">
        <v>1090.91</v>
      </c>
      <c r="G35">
        <v>1108.59</v>
      </c>
      <c r="H35">
        <f>MIN(E35:G35)</f>
      </c>
      <c r="I35">
        <f>H35-D35</f>
      </c>
      <c r="J35" s="2">
        <f>IF(D35=0,"",(H35-D35)/D35)</f>
      </c>
      <c r="K35" t="s">
        <v>59</v>
      </c>
      <c r="L35" t="s">
        <v>42</v>
      </c>
    </row>
    <row r="36" spans="1:12" x14ac:dyDescent="0.25">
      <c r="A36" t="s">
        <v>60</v>
      </c>
      <c r="B36">
        <v>75</v>
      </c>
      <c r="C36">
        <v>6.74</v>
      </c>
      <c r="D36">
        <f>C36*$B$3</f>
      </c>
      <c r="E36">
        <v>751.64</v>
      </c>
      <c r="F36">
        <v>534.09</v>
      </c>
      <c r="G36">
        <v>549.24</v>
      </c>
      <c r="H36">
        <f>MIN(E36:G36)</f>
      </c>
      <c r="I36">
        <f>H36-D36</f>
      </c>
      <c r="J36" s="2">
        <f>IF(D36=0,"",(H36-D36)/D36)</f>
      </c>
      <c r="K36" t="s">
        <v>24</v>
      </c>
      <c r="L36" t="s">
        <v>25</v>
      </c>
    </row>
    <row r="37" spans="1:12" x14ac:dyDescent="0.25">
      <c r="A37" t="s">
        <v>61</v>
      </c>
      <c r="B37">
        <v>74</v>
      </c>
      <c r="C37">
        <v>10.75</v>
      </c>
      <c r="D37">
        <f>C37*$B$3</f>
      </c>
      <c r="E37">
        <v>1087.63</v>
      </c>
      <c r="F37">
        <v>938.39</v>
      </c>
      <c r="G37">
        <v>860.61</v>
      </c>
      <c r="H37">
        <f>MIN(E37:G37)</f>
      </c>
      <c r="I37">
        <f>H37-D37</f>
      </c>
      <c r="J37" s="2">
        <f>IF(D37=0,"",(H37-D37)/D37)</f>
      </c>
      <c r="K37" t="s">
        <v>28</v>
      </c>
      <c r="L37" t="s">
        <v>25</v>
      </c>
    </row>
    <row r="38" spans="1:12" x14ac:dyDescent="0.25">
      <c r="A38" t="s">
        <v>62</v>
      </c>
      <c r="B38">
        <v>37</v>
      </c>
      <c r="C38">
        <v>12.1</v>
      </c>
      <c r="D38">
        <f>C38*$B$3</f>
      </c>
      <c r="E38">
        <v>1293.82</v>
      </c>
      <c r="F38">
        <v>947.48</v>
      </c>
      <c r="G38">
        <v>953.29</v>
      </c>
      <c r="H38">
        <f>MIN(E38:G38)</f>
      </c>
      <c r="I38">
        <f>H38-D38</f>
      </c>
      <c r="J38" s="2">
        <f>IF(D38=0,"",(H38-D38)/D38)</f>
      </c>
      <c r="K38" t="s">
        <v>59</v>
      </c>
      <c r="L38" t="s">
        <v>42</v>
      </c>
    </row>
    <row r="39" spans="1:12" x14ac:dyDescent="0.25">
      <c r="A39" t="s">
        <v>63</v>
      </c>
      <c r="B39">
        <v>92</v>
      </c>
      <c r="C39">
        <v>9.04</v>
      </c>
      <c r="D39">
        <f>C39*$B$3</f>
      </c>
      <c r="E39">
        <v>1096.97</v>
      </c>
      <c r="F39">
        <v>714.27</v>
      </c>
      <c r="G39">
        <v>782.07</v>
      </c>
      <c r="H39">
        <f>MIN(E39:G39)</f>
      </c>
      <c r="I39">
        <f>H39-D39</f>
      </c>
      <c r="J39" s="2">
        <f>IF(D39=0,"",(H39-D39)/D39)</f>
      </c>
      <c r="K39" t="s">
        <v>28</v>
      </c>
      <c r="L39" t="s">
        <v>42</v>
      </c>
    </row>
    <row r="40" spans="1:12" x14ac:dyDescent="0.25">
      <c r="A40" t="s">
        <v>64</v>
      </c>
      <c r="B40">
        <v>681</v>
      </c>
      <c r="C40">
        <v>10.53</v>
      </c>
      <c r="D40">
        <f>C40*$B$3</f>
      </c>
      <c r="E40">
        <v>1242.93</v>
      </c>
      <c r="F40">
        <v>824.62</v>
      </c>
      <c r="G40">
        <v>794.07</v>
      </c>
      <c r="H40">
        <f>MIN(E40:G40)</f>
      </c>
      <c r="I40">
        <f>H40-D40</f>
      </c>
      <c r="J40" s="2">
        <f>IF(D40=0,"",(H40-D40)/D40)</f>
      </c>
      <c r="K40" t="s">
        <v>50</v>
      </c>
      <c r="L40" t="s">
        <v>65</v>
      </c>
    </row>
    <row r="41" spans="1:12" x14ac:dyDescent="0.25">
      <c r="A41" t="s">
        <v>66</v>
      </c>
      <c r="B41">
        <v>94</v>
      </c>
      <c r="C41">
        <v>12.69</v>
      </c>
      <c r="D41">
        <f>C41*$B$3</f>
      </c>
      <c r="E41">
        <v>1504.17</v>
      </c>
      <c r="F41">
        <v>1254.8</v>
      </c>
      <c r="G41">
        <v>1071.97</v>
      </c>
      <c r="H41">
        <f>MIN(E41:G41)</f>
      </c>
      <c r="I41">
        <f>H41-D41</f>
      </c>
      <c r="J41" s="2">
        <f>IF(D41=0,"",(H41-D41)/D41)</f>
      </c>
      <c r="K41" t="s">
        <v>44</v>
      </c>
      <c r="L41" t="s">
        <v>67</v>
      </c>
    </row>
    <row r="42" spans="1:12" x14ac:dyDescent="0.25">
      <c r="A42" t="s">
        <v>68</v>
      </c>
      <c r="B42">
        <v>744</v>
      </c>
      <c r="C42">
        <v>9.76</v>
      </c>
      <c r="D42">
        <f>C42*$B$3</f>
      </c>
      <c r="E42">
        <v>1268.31</v>
      </c>
      <c r="F42">
        <v>813.13</v>
      </c>
      <c r="G42">
        <v>801.77</v>
      </c>
      <c r="H42">
        <f>MIN(E42:G42)</f>
      </c>
      <c r="I42">
        <f>H42-D42</f>
      </c>
      <c r="J42" s="2">
        <f>IF(D42=0,"",(H42-D42)/D42)</f>
      </c>
      <c r="K42" t="s">
        <v>50</v>
      </c>
      <c r="L42" t="s">
        <v>51</v>
      </c>
    </row>
    <row r="43" spans="1:12" x14ac:dyDescent="0.25">
      <c r="A43" t="s">
        <v>69</v>
      </c>
      <c r="B43">
        <v>653</v>
      </c>
      <c r="C43">
        <v>8.38</v>
      </c>
      <c r="D43">
        <f>C43*$B$3</f>
      </c>
      <c r="E43">
        <v>919.57</v>
      </c>
      <c r="F43">
        <v>694.32</v>
      </c>
      <c r="G43">
        <v>683.08</v>
      </c>
      <c r="H43">
        <f>MIN(E43:G43)</f>
      </c>
      <c r="I43">
        <f>H43-D43</f>
      </c>
      <c r="J43" s="2">
        <f>IF(D43=0,"",(H43-D43)/D43)</f>
      </c>
      <c r="K43" t="s">
        <v>18</v>
      </c>
      <c r="L43" t="s">
        <v>42</v>
      </c>
    </row>
    <row r="44" spans="1:12" x14ac:dyDescent="0.25">
      <c r="A44" t="s">
        <v>70</v>
      </c>
      <c r="B44">
        <v>75</v>
      </c>
      <c r="C44">
        <v>11.06</v>
      </c>
      <c r="D44">
        <f>C44*$B$3</f>
      </c>
      <c r="E44">
        <v>1390.53</v>
      </c>
      <c r="F44">
        <v>954.3</v>
      </c>
      <c r="G44">
        <v>852.15</v>
      </c>
      <c r="H44">
        <f>MIN(E44:G44)</f>
      </c>
      <c r="I44">
        <f>H44-D44</f>
      </c>
      <c r="J44" s="2">
        <f>IF(D44=0,"",(H44-D44)/D44)</f>
      </c>
      <c r="K44" t="s">
        <v>44</v>
      </c>
      <c r="L44" t="s">
        <v>71</v>
      </c>
    </row>
    <row r="45" spans="1:12" x14ac:dyDescent="0.25">
      <c r="A45" t="s">
        <v>72</v>
      </c>
      <c r="B45">
        <v>140</v>
      </c>
      <c r="C45">
        <v>6.73</v>
      </c>
      <c r="D45">
        <f>C45*$B$3</f>
      </c>
      <c r="E45">
        <v>824.62</v>
      </c>
      <c r="F45">
        <v>525.89</v>
      </c>
      <c r="G45">
        <v>530.3</v>
      </c>
      <c r="H45">
        <f>MIN(E45:G45)</f>
      </c>
      <c r="I45">
        <f>H45-D45</f>
      </c>
      <c r="J45" s="2">
        <f>IF(D45=0,"",(H45-D45)/D45)</f>
      </c>
      <c r="K45" t="s">
        <v>18</v>
      </c>
      <c r="L45" t="s">
        <v>73</v>
      </c>
    </row>
    <row r="46" spans="1:12" x14ac:dyDescent="0.25">
      <c r="A46" t="s">
        <v>74</v>
      </c>
      <c r="B46">
        <v>1042</v>
      </c>
      <c r="C46">
        <v>9.5</v>
      </c>
      <c r="D46">
        <f>C46*$B$3</f>
      </c>
      <c r="E46">
        <v>1098.61</v>
      </c>
      <c r="F46">
        <v>744.95</v>
      </c>
      <c r="G46">
        <v>729.55</v>
      </c>
      <c r="H46">
        <f>MIN(E46:G46)</f>
      </c>
      <c r="I46">
        <f>H46-D46</f>
      </c>
      <c r="J46" s="2">
        <f>IF(D46=0,"",(H46-D46)/D46)</f>
      </c>
      <c r="K46" t="s">
        <v>50</v>
      </c>
      <c r="L46" t="s">
        <v>65</v>
      </c>
    </row>
    <row r="47" spans="1:12" x14ac:dyDescent="0.25">
      <c r="A47" t="s">
        <v>75</v>
      </c>
      <c r="B47">
        <v>95</v>
      </c>
      <c r="C47">
        <v>11.64</v>
      </c>
      <c r="D47">
        <f>C47*$B$3</f>
      </c>
      <c r="E47">
        <v>1211.49</v>
      </c>
      <c r="F47">
        <v>972.23</v>
      </c>
      <c r="G47">
        <v>982.33</v>
      </c>
      <c r="H47">
        <f>MIN(E47:G47)</f>
      </c>
      <c r="I47">
        <f>H47-D47</f>
      </c>
      <c r="J47" s="2">
        <f>IF(D47=0,"",(H47-D47)/D47)</f>
      </c>
      <c r="K47" t="s">
        <v>21</v>
      </c>
      <c r="L47" t="s">
        <v>42</v>
      </c>
    </row>
    <row r="48" spans="1:12" x14ac:dyDescent="0.25">
      <c r="A48" t="s">
        <v>76</v>
      </c>
      <c r="B48">
        <v>201</v>
      </c>
      <c r="C48">
        <v>8.72</v>
      </c>
      <c r="D48">
        <f>C48*$B$3</f>
      </c>
      <c r="E48">
        <v>990.03</v>
      </c>
      <c r="F48">
        <v>691.92</v>
      </c>
      <c r="G48">
        <v>679.29</v>
      </c>
      <c r="H48">
        <f>MIN(E48:G48)</f>
      </c>
      <c r="I48">
        <f>H48-D48</f>
      </c>
      <c r="J48" s="2">
        <f>IF(D48=0,"",(H48-D48)/D48)</f>
      </c>
      <c r="K48" t="s">
        <v>44</v>
      </c>
      <c r="L48" t="s">
        <v>67</v>
      </c>
    </row>
    <row r="49" spans="1:12" x14ac:dyDescent="0.25">
      <c r="A49" t="s">
        <v>77</v>
      </c>
      <c r="B49">
        <v>627</v>
      </c>
      <c r="C49">
        <v>7.96</v>
      </c>
      <c r="D49">
        <f>C49*$B$3</f>
      </c>
      <c r="E49">
        <v>952.65</v>
      </c>
      <c r="F49">
        <v>643.44</v>
      </c>
      <c r="G49">
        <v>625</v>
      </c>
      <c r="H49">
        <f>MIN(E49:G49)</f>
      </c>
      <c r="I49">
        <f>H49-D49</f>
      </c>
      <c r="J49" s="2">
        <f>IF(D49=0,"",(H49-D49)/D49)</f>
      </c>
      <c r="K49" t="s">
        <v>50</v>
      </c>
      <c r="L49" t="s">
        <v>78</v>
      </c>
    </row>
    <row r="50" spans="1:12" x14ac:dyDescent="0.25">
      <c r="A50" t="s">
        <v>79</v>
      </c>
      <c r="B50">
        <v>91</v>
      </c>
      <c r="C50">
        <v>8.21</v>
      </c>
      <c r="D50">
        <f>C50*$B$3</f>
      </c>
      <c r="E50">
        <v>928.16</v>
      </c>
      <c r="F50">
        <v>618.56</v>
      </c>
      <c r="G50">
        <v>631.32</v>
      </c>
      <c r="H50">
        <f>MIN(E50:G50)</f>
      </c>
      <c r="I50">
        <f>H50-D50</f>
      </c>
      <c r="J50" s="2">
        <f>IF(D50=0,"",(H50-D50)/D50)</f>
      </c>
      <c r="K50" t="s">
        <v>28</v>
      </c>
      <c r="L50" t="s">
        <v>19</v>
      </c>
    </row>
    <row r="51" spans="1:12" x14ac:dyDescent="0.25">
      <c r="A51" t="s">
        <v>80</v>
      </c>
      <c r="B51">
        <v>124</v>
      </c>
      <c r="C51">
        <v>8.89</v>
      </c>
      <c r="D51">
        <f>C51*$B$3</f>
      </c>
      <c r="E51">
        <v>967.17</v>
      </c>
      <c r="F51">
        <v>767.81</v>
      </c>
      <c r="G51">
        <v>732.2</v>
      </c>
      <c r="H51">
        <f>MIN(E51:G51)</f>
      </c>
      <c r="I51">
        <f>H51-D51</f>
      </c>
      <c r="J51" s="2">
        <f>IF(D51=0,"",(H51-D51)/D51)</f>
      </c>
      <c r="K51" t="s">
        <v>18</v>
      </c>
      <c r="L51" t="s">
        <v>42</v>
      </c>
    </row>
    <row r="52" spans="1:12" x14ac:dyDescent="0.25">
      <c r="A52" t="s">
        <v>81</v>
      </c>
      <c r="B52">
        <v>212</v>
      </c>
      <c r="C52">
        <v>8.76</v>
      </c>
      <c r="D52">
        <f>C52*$B$3</f>
      </c>
      <c r="E52">
        <v>905.18</v>
      </c>
      <c r="F52">
        <v>628.79</v>
      </c>
      <c r="G52">
        <v>649.12</v>
      </c>
      <c r="H52">
        <f>MIN(E52:G52)</f>
      </c>
      <c r="I52">
        <f>H52-D52</f>
      </c>
      <c r="J52" s="2">
        <f>IF(D52=0,"",(H52-D52)/D52)</f>
      </c>
      <c r="K52" t="s">
        <v>28</v>
      </c>
      <c r="L52" t="s">
        <v>42</v>
      </c>
    </row>
    <row r="53" spans="1:12" x14ac:dyDescent="0.25">
      <c r="A53" t="s">
        <v>82</v>
      </c>
      <c r="B53">
        <v>730</v>
      </c>
      <c r="C53">
        <v>7.89</v>
      </c>
      <c r="D53">
        <f>C53*$B$3</f>
      </c>
      <c r="E53">
        <v>1017.17</v>
      </c>
      <c r="F53">
        <v>656.57</v>
      </c>
      <c r="G53">
        <v>640.15</v>
      </c>
      <c r="H53">
        <f>MIN(E53:G53)</f>
      </c>
      <c r="I53">
        <f>H53-D53</f>
      </c>
      <c r="J53" s="2">
        <f>IF(D53=0,"",(H53-D53)/D53)</f>
      </c>
      <c r="K53" t="s">
        <v>50</v>
      </c>
      <c r="L53" t="s">
        <v>83</v>
      </c>
    </row>
    <row r="54" spans="1:12" x14ac:dyDescent="0.25">
      <c r="A54" t="s">
        <v>84</v>
      </c>
      <c r="B54">
        <v>440</v>
      </c>
      <c r="C54">
        <v>5.26</v>
      </c>
      <c r="D54">
        <f>C54*$B$3</f>
      </c>
      <c r="E54">
        <v>542.93</v>
      </c>
      <c r="F54">
        <v>431.19</v>
      </c>
      <c r="G54">
        <v>425.51</v>
      </c>
      <c r="H54">
        <f>MIN(E54:G54)</f>
      </c>
      <c r="I54">
        <f>H54-D54</f>
      </c>
      <c r="J54" s="2">
        <f>IF(D54=0,"",(H54-D54)/D54)</f>
      </c>
      <c r="K54" t="s">
        <v>28</v>
      </c>
      <c r="L54" t="s">
        <v>42</v>
      </c>
    </row>
    <row r="55" spans="1:12" x14ac:dyDescent="0.25">
      <c r="A55" t="s">
        <v>85</v>
      </c>
      <c r="B55">
        <v>580</v>
      </c>
      <c r="C55">
        <v>8.02</v>
      </c>
      <c r="D55">
        <f>C55*$B$3</f>
      </c>
      <c r="E55">
        <v>900.13</v>
      </c>
      <c r="F55">
        <v>622.48</v>
      </c>
      <c r="G55">
        <v>612.38</v>
      </c>
      <c r="H55">
        <f>MIN(E55:G55)</f>
      </c>
      <c r="I55">
        <f>H55-D55</f>
      </c>
      <c r="J55" s="2">
        <f>IF(D55=0,"",(H55-D55)/D55)</f>
      </c>
      <c r="K55" t="s">
        <v>50</v>
      </c>
      <c r="L55" t="s">
        <v>78</v>
      </c>
    </row>
    <row r="56" spans="1:12" x14ac:dyDescent="0.25">
      <c r="A56" t="s">
        <v>86</v>
      </c>
      <c r="B56">
        <v>59</v>
      </c>
      <c r="C56">
        <v>7.38</v>
      </c>
      <c r="D56">
        <f>C56*$B$3</f>
      </c>
      <c r="E56">
        <v>894.19</v>
      </c>
      <c r="F56">
        <v>630.05</v>
      </c>
      <c r="G56">
        <v>651.39</v>
      </c>
      <c r="H56">
        <f>MIN(E56:G56)</f>
      </c>
      <c r="I56">
        <f>H56-D56</f>
      </c>
      <c r="J56" s="2">
        <f>IF(D56=0,"",(H56-D56)/D56)</f>
      </c>
      <c r="K56" t="s">
        <v>18</v>
      </c>
      <c r="L56" t="s">
        <v>25</v>
      </c>
    </row>
    <row r="57" spans="1:12" x14ac:dyDescent="0.25">
      <c r="A57" t="s">
        <v>87</v>
      </c>
      <c r="B57">
        <v>264</v>
      </c>
      <c r="C57">
        <v>7.03</v>
      </c>
      <c r="D57">
        <f>C57*$B$3</f>
      </c>
      <c r="E57">
        <v>765.15</v>
      </c>
      <c r="F57">
        <v>568.18</v>
      </c>
      <c r="G57">
        <v>584.47</v>
      </c>
      <c r="H57">
        <f>MIN(E57:G57)</f>
      </c>
      <c r="I57">
        <f>H57-D57</f>
      </c>
      <c r="J57" s="2">
        <f>IF(D57=0,"",(H57-D57)/D57)</f>
      </c>
      <c r="K57" t="s">
        <v>24</v>
      </c>
      <c r="L57" t="s">
        <v>42</v>
      </c>
    </row>
    <row r="58" spans="1:12" x14ac:dyDescent="0.25">
      <c r="A58" t="s">
        <v>88</v>
      </c>
      <c r="B58">
        <v>103</v>
      </c>
      <c r="C58">
        <v>6.13</v>
      </c>
      <c r="D58">
        <f>C58*$B$3</f>
      </c>
      <c r="E58">
        <v>772.86</v>
      </c>
      <c r="F58">
        <v>516.54</v>
      </c>
      <c r="G58">
        <v>530.3</v>
      </c>
      <c r="H58">
        <f>MIN(E58:G58)</f>
      </c>
      <c r="I58">
        <f>H58-D58</f>
      </c>
      <c r="J58" s="2">
        <f>IF(D58=0,"",(H58-D58)/D58)</f>
      </c>
      <c r="K58" t="s">
        <v>44</v>
      </c>
      <c r="L58" t="s">
        <v>67</v>
      </c>
    </row>
    <row r="59" spans="1:12" x14ac:dyDescent="0.25">
      <c r="A59" t="s">
        <v>89</v>
      </c>
      <c r="B59">
        <v>76</v>
      </c>
      <c r="C59">
        <v>7.12</v>
      </c>
      <c r="D59">
        <f>C59*$B$3</f>
      </c>
      <c r="E59">
        <v>764.4</v>
      </c>
      <c r="F59">
        <v>538.01</v>
      </c>
      <c r="G59">
        <v>542.93</v>
      </c>
      <c r="H59">
        <f>MIN(E59:G59)</f>
      </c>
      <c r="I59">
        <f>H59-D59</f>
      </c>
      <c r="J59" s="2">
        <f>IF(D59=0,"",(H59-D59)/D59)</f>
      </c>
      <c r="K59" t="s">
        <v>44</v>
      </c>
      <c r="L59" t="s">
        <v>71</v>
      </c>
    </row>
    <row r="60" spans="1:12" x14ac:dyDescent="0.25">
      <c r="A60" t="s">
        <v>90</v>
      </c>
      <c r="B60">
        <v>263</v>
      </c>
      <c r="C60">
        <v>6.14</v>
      </c>
      <c r="D60">
        <f>C60*$B$3</f>
      </c>
      <c r="E60">
        <v>712.63</v>
      </c>
      <c r="F60">
        <v>521.84</v>
      </c>
      <c r="G60">
        <v>491.16</v>
      </c>
      <c r="H60">
        <f>MIN(E60:G60)</f>
      </c>
      <c r="I60">
        <f>H60-D60</f>
      </c>
      <c r="J60" s="2">
        <f>IF(D60=0,"",(H60-D60)/D60)</f>
      </c>
      <c r="K60" t="s">
        <v>21</v>
      </c>
      <c r="L60" t="s">
        <v>42</v>
      </c>
    </row>
    <row r="61" spans="1:12" x14ac:dyDescent="0.25">
      <c r="A61" t="s">
        <v>91</v>
      </c>
      <c r="B61">
        <v>412</v>
      </c>
      <c r="C61">
        <v>7.06</v>
      </c>
      <c r="D61">
        <f>C61*$B$3</f>
      </c>
      <c r="E61">
        <v>738.01</v>
      </c>
      <c r="F61">
        <v>587.12</v>
      </c>
      <c r="G61">
        <v>582.96</v>
      </c>
      <c r="H61">
        <f>MIN(E61:G61)</f>
      </c>
      <c r="I61">
        <f>H61-D61</f>
      </c>
      <c r="J61" s="2">
        <f>IF(D61=0,"",(H61-D61)/D61)</f>
      </c>
      <c r="K61" t="s">
        <v>24</v>
      </c>
      <c r="L61" t="s">
        <v>42</v>
      </c>
    </row>
    <row r="62" spans="1:12" x14ac:dyDescent="0.25">
      <c r="A62" t="s">
        <v>92</v>
      </c>
      <c r="B62">
        <v>709</v>
      </c>
      <c r="C62">
        <v>6.63</v>
      </c>
      <c r="D62">
        <f>C62*$B$3</f>
      </c>
      <c r="E62">
        <v>771.97</v>
      </c>
      <c r="F62">
        <v>552.91</v>
      </c>
      <c r="G62">
        <v>529.04</v>
      </c>
      <c r="H62">
        <f>MIN(E62:G62)</f>
      </c>
      <c r="I62">
        <f>H62-D62</f>
      </c>
      <c r="J62" s="2">
        <f>IF(D62=0,"",(H62-D62)/D62)</f>
      </c>
      <c r="K62" t="s">
        <v>50</v>
      </c>
      <c r="L62" t="s">
        <v>78</v>
      </c>
    </row>
    <row r="63" spans="1:12" x14ac:dyDescent="0.25">
      <c r="A63" t="s">
        <v>93</v>
      </c>
      <c r="B63">
        <v>449</v>
      </c>
      <c r="C63">
        <v>6.29</v>
      </c>
      <c r="D63">
        <f>C63*$B$3</f>
      </c>
      <c r="E63">
        <v>758.46</v>
      </c>
      <c r="F63">
        <v>498.74</v>
      </c>
      <c r="G63">
        <v>490.53</v>
      </c>
      <c r="H63">
        <f>MIN(E63:G63)</f>
      </c>
      <c r="I63">
        <f>H63-D63</f>
      </c>
      <c r="J63" s="2">
        <f>IF(D63=0,"",(H63-D63)/D63)</f>
      </c>
      <c r="K63" t="s">
        <v>50</v>
      </c>
      <c r="L63" t="s">
        <v>51</v>
      </c>
    </row>
    <row r="64" spans="1:12" x14ac:dyDescent="0.25">
      <c r="A64" t="s">
        <v>94</v>
      </c>
      <c r="B64">
        <v>149</v>
      </c>
      <c r="C64">
        <v>4.69</v>
      </c>
      <c r="D64">
        <f>C64*$B$3</f>
      </c>
      <c r="E64">
        <v>475.89</v>
      </c>
      <c r="F64">
        <v>364.14</v>
      </c>
      <c r="G64">
        <v>390.78</v>
      </c>
      <c r="H64">
        <f>MIN(E64:G64)</f>
      </c>
      <c r="I64">
        <f>H64-D64</f>
      </c>
      <c r="J64" s="2">
        <f>IF(D64=0,"",(H64-D64)/D64)</f>
      </c>
      <c r="K64" t="s">
        <v>28</v>
      </c>
      <c r="L64" t="s">
        <v>25</v>
      </c>
    </row>
    <row r="65" spans="1:12" x14ac:dyDescent="0.25">
      <c r="A65" t="s">
        <v>95</v>
      </c>
      <c r="B65">
        <v>276</v>
      </c>
      <c r="C65">
        <v>6.27</v>
      </c>
      <c r="D65">
        <f>C65*$B$3</f>
      </c>
      <c r="E65">
        <v>868.69</v>
      </c>
      <c r="F65">
        <v>503.79</v>
      </c>
      <c r="G65">
        <v>511.24</v>
      </c>
      <c r="H65">
        <f>MIN(E65:G65)</f>
      </c>
      <c r="I65">
        <f>H65-D65</f>
      </c>
      <c r="J65" s="2">
        <f>IF(D65=0,"",(H65-D65)/D65)</f>
      </c>
      <c r="K65" t="s">
        <v>18</v>
      </c>
      <c r="L65" t="s">
        <v>19</v>
      </c>
    </row>
    <row r="66" spans="1:12" x14ac:dyDescent="0.25">
      <c r="A66" t="s">
        <v>96</v>
      </c>
      <c r="B66">
        <v>687</v>
      </c>
      <c r="C66">
        <v>6.16</v>
      </c>
      <c r="D66">
        <f>C66*$B$3</f>
      </c>
      <c r="E66">
        <v>727.91</v>
      </c>
      <c r="F66">
        <v>488.13</v>
      </c>
      <c r="G66">
        <v>477.27</v>
      </c>
      <c r="H66">
        <f>MIN(E66:G66)</f>
      </c>
      <c r="I66">
        <f>H66-D66</f>
      </c>
      <c r="J66" s="2">
        <f>IF(D66=0,"",(H66-D66)/D66)</f>
      </c>
      <c r="K66" t="s">
        <v>50</v>
      </c>
      <c r="L66" t="s">
        <v>51</v>
      </c>
    </row>
    <row r="67" spans="1:12" x14ac:dyDescent="0.25">
      <c r="A67" t="s">
        <v>97</v>
      </c>
      <c r="B67">
        <v>486</v>
      </c>
      <c r="C67">
        <v>6.34</v>
      </c>
      <c r="D67">
        <f>C67*$B$3</f>
      </c>
      <c r="E67">
        <v>780.43</v>
      </c>
      <c r="F67">
        <v>499.75</v>
      </c>
      <c r="G67">
        <v>502.53</v>
      </c>
      <c r="H67">
        <f>MIN(E67:G67)</f>
      </c>
      <c r="I67">
        <f>H67-D67</f>
      </c>
      <c r="J67" s="2">
        <f>IF(D67=0,"",(H67-D67)/D67)</f>
      </c>
      <c r="K67" t="s">
        <v>50</v>
      </c>
      <c r="L67" t="s">
        <v>51</v>
      </c>
    </row>
    <row r="68" spans="1:12" x14ac:dyDescent="0.25">
      <c r="A68" t="s">
        <v>98</v>
      </c>
      <c r="B68">
        <v>529</v>
      </c>
      <c r="C68">
        <v>5.89</v>
      </c>
      <c r="D68">
        <f>C68*$B$3</f>
      </c>
      <c r="E68">
        <v>706.69</v>
      </c>
      <c r="F68">
        <v>502.53</v>
      </c>
      <c r="G68">
        <v>485.86</v>
      </c>
      <c r="H68">
        <f>MIN(E68:G68)</f>
      </c>
      <c r="I68">
        <f>H68-D68</f>
      </c>
      <c r="J68" s="2">
        <f>IF(D68=0,"",(H68-D68)/D68)</f>
      </c>
      <c r="K68" t="s">
        <v>50</v>
      </c>
      <c r="L68" t="s">
        <v>51</v>
      </c>
    </row>
    <row r="69" spans="1:12" x14ac:dyDescent="0.25">
      <c r="A69" t="s">
        <v>99</v>
      </c>
      <c r="B69">
        <v>301</v>
      </c>
      <c r="C69">
        <v>6.37</v>
      </c>
      <c r="D69">
        <f>C69*$B$3</f>
      </c>
      <c r="E69">
        <v>629.42</v>
      </c>
      <c r="F69">
        <v>459.98</v>
      </c>
      <c r="G69">
        <v>465.78</v>
      </c>
      <c r="H69">
        <f>MIN(E69:G69)</f>
      </c>
      <c r="I69">
        <f>H69-D69</f>
      </c>
      <c r="J69" s="2">
        <f>IF(D69=0,"",(H69-D69)/D69)</f>
      </c>
      <c r="K69" t="s">
        <v>44</v>
      </c>
      <c r="L69" t="s">
        <v>71</v>
      </c>
    </row>
    <row r="70" spans="1:12" x14ac:dyDescent="0.25">
      <c r="A70" t="s">
        <v>100</v>
      </c>
      <c r="B70">
        <v>247</v>
      </c>
      <c r="C70">
        <v>5.49</v>
      </c>
      <c r="D70">
        <f>C70*$B$3</f>
      </c>
      <c r="E70">
        <v>659.22</v>
      </c>
      <c r="F70">
        <v>415.53</v>
      </c>
      <c r="G70">
        <v>404.04</v>
      </c>
      <c r="H70">
        <f>MIN(E70:G70)</f>
      </c>
      <c r="I70">
        <f>H70-D70</f>
      </c>
      <c r="J70" s="2">
        <f>IF(D70=0,"",(H70-D70)/D70)</f>
      </c>
      <c r="K70" t="s">
        <v>44</v>
      </c>
      <c r="L70" t="s">
        <v>71</v>
      </c>
    </row>
    <row r="71" spans="1:12" x14ac:dyDescent="0.25">
      <c r="A71" t="s">
        <v>101</v>
      </c>
      <c r="B71">
        <v>820</v>
      </c>
      <c r="C71">
        <v>6.12</v>
      </c>
      <c r="D71">
        <f>C71*$B$3</f>
      </c>
      <c r="E71">
        <v>719.45</v>
      </c>
      <c r="F71">
        <v>512.25</v>
      </c>
      <c r="G71">
        <v>500.89</v>
      </c>
      <c r="H71">
        <f>MIN(E71:G71)</f>
      </c>
      <c r="I71">
        <f>H71-D71</f>
      </c>
      <c r="J71" s="2">
        <f>IF(D71=0,"",(H71-D71)/D71)</f>
      </c>
      <c r="K71" t="s">
        <v>18</v>
      </c>
      <c r="L71" t="s">
        <v>42</v>
      </c>
    </row>
    <row r="72" spans="1:12" x14ac:dyDescent="0.25">
      <c r="A72" t="s">
        <v>102</v>
      </c>
      <c r="B72">
        <v>41</v>
      </c>
      <c r="C72">
        <v>6.3</v>
      </c>
      <c r="D72">
        <f>C72*$B$3</f>
      </c>
      <c r="E72">
        <v>665.91</v>
      </c>
      <c r="F72">
        <v>517.68</v>
      </c>
      <c r="G72">
        <v>464.65</v>
      </c>
      <c r="H72">
        <f>MIN(E72:G72)</f>
      </c>
      <c r="I72">
        <f>H72-D72</f>
      </c>
      <c r="J72" s="2">
        <f>IF(D72=0,"",(H72-D72)/D72)</f>
      </c>
      <c r="K72" t="s">
        <v>44</v>
      </c>
      <c r="L72" t="s">
        <v>71</v>
      </c>
    </row>
    <row r="73" spans="1:12" x14ac:dyDescent="0.25">
      <c r="A73" t="s">
        <v>103</v>
      </c>
      <c r="B73">
        <v>791</v>
      </c>
      <c r="C73">
        <v>5.29</v>
      </c>
      <c r="D73">
        <f>C73*$B$3</f>
      </c>
      <c r="E73">
        <v>624.37</v>
      </c>
      <c r="F73">
        <v>405.94</v>
      </c>
      <c r="G73">
        <v>403.28</v>
      </c>
      <c r="H73">
        <f>MIN(E73:G73)</f>
      </c>
      <c r="I73">
        <f>H73-D73</f>
      </c>
      <c r="J73" s="2">
        <f>IF(D73=0,"",(H73-D73)/D73)</f>
      </c>
      <c r="K73" t="s">
        <v>50</v>
      </c>
      <c r="L73" t="s">
        <v>78</v>
      </c>
    </row>
    <row r="74" spans="1:12" x14ac:dyDescent="0.25">
      <c r="A74" t="s">
        <v>104</v>
      </c>
      <c r="B74">
        <v>121</v>
      </c>
      <c r="C74">
        <v>5.57</v>
      </c>
      <c r="D74">
        <f>C74*$B$3</f>
      </c>
      <c r="E74">
        <v>620.08</v>
      </c>
      <c r="F74">
        <v>433.59</v>
      </c>
      <c r="G74">
        <v>415.41</v>
      </c>
      <c r="H74">
        <f>MIN(E74:G74)</f>
      </c>
      <c r="I74">
        <f>H74-D74</f>
      </c>
      <c r="J74" s="2">
        <f>IF(D74=0,"",(H74-D74)/D74)</f>
      </c>
      <c r="K74" t="s">
        <v>44</v>
      </c>
      <c r="L74" t="s">
        <v>67</v>
      </c>
    </row>
    <row r="75" spans="1:12" x14ac:dyDescent="0.25">
      <c r="A75" t="s">
        <v>105</v>
      </c>
      <c r="B75">
        <v>326</v>
      </c>
      <c r="C75">
        <v>5.27</v>
      </c>
      <c r="D75">
        <f>C75*$B$3</f>
      </c>
      <c r="E75">
        <v>615.03</v>
      </c>
      <c r="F75">
        <v>404.93</v>
      </c>
      <c r="G75">
        <v>408.84</v>
      </c>
      <c r="H75">
        <f>MIN(E75:G75)</f>
      </c>
      <c r="I75">
        <f>H75-D75</f>
      </c>
      <c r="J75" s="2">
        <f>IF(D75=0,"",(H75-D75)/D75)</f>
      </c>
      <c r="K75" t="s">
        <v>50</v>
      </c>
      <c r="L75" t="s">
        <v>78</v>
      </c>
    </row>
    <row r="76" spans="1:12" x14ac:dyDescent="0.25">
      <c r="A76" t="s">
        <v>106</v>
      </c>
      <c r="B76">
        <v>703</v>
      </c>
      <c r="C76">
        <v>4.16</v>
      </c>
      <c r="D76">
        <f>C76*$B$3</f>
      </c>
      <c r="E76">
        <v>495.46</v>
      </c>
      <c r="F76">
        <v>343.44</v>
      </c>
      <c r="G76">
        <v>333.33</v>
      </c>
      <c r="H76">
        <f>MIN(E76:G76)</f>
      </c>
      <c r="I76">
        <f>H76-D76</f>
      </c>
      <c r="J76" s="2">
        <f>IF(D76=0,"",(H76-D76)/D76)</f>
      </c>
      <c r="K76" t="s">
        <v>18</v>
      </c>
      <c r="L76" t="s">
        <v>25</v>
      </c>
    </row>
    <row r="77" spans="1:12" x14ac:dyDescent="0.25">
      <c r="A77" t="s">
        <v>107</v>
      </c>
      <c r="B77">
        <v>188</v>
      </c>
      <c r="C77">
        <v>3.83</v>
      </c>
      <c r="D77">
        <f>C77*$B$3</f>
      </c>
      <c r="E77">
        <v>395.33</v>
      </c>
      <c r="F77">
        <v>282.2</v>
      </c>
      <c r="G77">
        <v>287.88</v>
      </c>
      <c r="H77">
        <f>MIN(E77:G77)</f>
      </c>
      <c r="I77">
        <f>H77-D77</f>
      </c>
      <c r="J77" s="2">
        <f>IF(D77=0,"",(H77-D77)/D77)</f>
      </c>
      <c r="K77" t="s">
        <v>44</v>
      </c>
      <c r="L77" t="s">
        <v>71</v>
      </c>
    </row>
    <row r="78" spans="1:12" x14ac:dyDescent="0.25">
      <c r="A78" t="s">
        <v>108</v>
      </c>
      <c r="B78">
        <v>118</v>
      </c>
      <c r="C78">
        <v>4.58</v>
      </c>
      <c r="D78">
        <f>C78*$B$3</f>
      </c>
      <c r="E78">
        <v>443.69</v>
      </c>
      <c r="F78">
        <v>422.98</v>
      </c>
      <c r="G78">
        <v>361.87</v>
      </c>
      <c r="H78">
        <f>MIN(E78:G78)</f>
      </c>
      <c r="I78">
        <f>H78-D78</f>
      </c>
      <c r="J78" s="2">
        <f>IF(D78=0,"",(H78-D78)/D78)</f>
      </c>
      <c r="K78" t="s">
        <v>44</v>
      </c>
      <c r="L78" t="s">
        <v>71</v>
      </c>
    </row>
    <row r="79" spans="1:12" x14ac:dyDescent="0.25">
      <c r="A79" t="s">
        <v>109</v>
      </c>
      <c r="B79">
        <v>239</v>
      </c>
      <c r="C79">
        <v>2.81</v>
      </c>
      <c r="D79">
        <f>C79*$B$3</f>
      </c>
      <c r="E79">
        <v>352.02</v>
      </c>
      <c r="F79">
        <v>219.95</v>
      </c>
      <c r="G79">
        <v>223.49</v>
      </c>
      <c r="H79">
        <f>MIN(E79:G79)</f>
      </c>
      <c r="I79">
        <f>H79-D79</f>
      </c>
      <c r="J79" s="2">
        <f>IF(D79=0,"",(H79-D79)/D79)</f>
      </c>
      <c r="K79" t="s">
        <v>59</v>
      </c>
      <c r="L79" t="s">
        <v>42</v>
      </c>
    </row>
    <row r="80" spans="1:12" x14ac:dyDescent="0.25">
      <c r="A80" t="s">
        <v>110</v>
      </c>
      <c r="B80">
        <v>110</v>
      </c>
      <c r="C80">
        <v>4.68</v>
      </c>
      <c r="D80">
        <f>C80*$B$3</f>
      </c>
      <c r="E80">
        <v>542.05</v>
      </c>
      <c r="F80">
        <v>416.42</v>
      </c>
      <c r="G80">
        <v>372.98</v>
      </c>
      <c r="H80">
        <f>MIN(E80:G80)</f>
      </c>
      <c r="I80">
        <f>H80-D80</f>
      </c>
      <c r="J80" s="2">
        <f>IF(D80=0,"",(H80-D80)/D80)</f>
      </c>
      <c r="K80" t="s">
        <v>44</v>
      </c>
      <c r="L80" t="s">
        <v>71</v>
      </c>
    </row>
    <row r="81" spans="1:12" x14ac:dyDescent="0.25">
      <c r="A81" t="s">
        <v>111</v>
      </c>
      <c r="B81">
        <v>57</v>
      </c>
      <c r="C81">
        <v>4.57</v>
      </c>
      <c r="D81">
        <f>C81*$B$3</f>
      </c>
      <c r="E81">
        <v>563.26</v>
      </c>
      <c r="F81">
        <v>366.16</v>
      </c>
      <c r="G81">
        <v>392.55</v>
      </c>
      <c r="H81">
        <f>MIN(E81:G81)</f>
      </c>
      <c r="I81">
        <f>H81-D81</f>
      </c>
      <c r="J81" s="2">
        <f>IF(D81=0,"",(H81-D81)/D81)</f>
      </c>
      <c r="K81" t="s">
        <v>28</v>
      </c>
      <c r="L81" t="s">
        <v>42</v>
      </c>
    </row>
    <row r="82" spans="1:12" x14ac:dyDescent="0.25">
      <c r="A82" t="s">
        <v>112</v>
      </c>
      <c r="B82">
        <v>404</v>
      </c>
      <c r="C82">
        <v>5.81</v>
      </c>
      <c r="D82">
        <f>C82*$B$3</f>
      </c>
      <c r="E82">
        <v>600.63</v>
      </c>
      <c r="F82">
        <v>465.91</v>
      </c>
      <c r="G82">
        <v>467.3</v>
      </c>
      <c r="H82">
        <f>MIN(E82:G82)</f>
      </c>
      <c r="I82">
        <f>H82-D82</f>
      </c>
      <c r="J82" s="2">
        <f>IF(D82=0,"",(H82-D82)/D82)</f>
      </c>
      <c r="K82" t="s">
        <v>18</v>
      </c>
      <c r="L82" t="s">
        <v>19</v>
      </c>
    </row>
    <row r="83" spans="1:12" x14ac:dyDescent="0.25">
      <c r="A83" t="s">
        <v>113</v>
      </c>
      <c r="B83">
        <v>101</v>
      </c>
      <c r="C83">
        <v>2.38</v>
      </c>
      <c r="D83">
        <f>C83*$B$3</f>
      </c>
      <c r="E83">
        <v>302.02</v>
      </c>
      <c r="F83">
        <v>208.21</v>
      </c>
      <c r="G83">
        <v>198.23</v>
      </c>
      <c r="H83">
        <f>MIN(E83:G83)</f>
      </c>
      <c r="I83">
        <f>H83-D83</f>
      </c>
      <c r="J83" s="2">
        <f>IF(D83=0,"",(H83-D83)/D83)</f>
      </c>
      <c r="K83" t="s">
        <v>24</v>
      </c>
      <c r="L83" t="s">
        <v>114</v>
      </c>
    </row>
    <row r="84" spans="1:12" x14ac:dyDescent="0.25">
      <c r="A84" t="s">
        <v>115</v>
      </c>
      <c r="B84">
        <v>210</v>
      </c>
      <c r="C84">
        <v>4.1</v>
      </c>
      <c r="D84">
        <f>C84*$B$3</f>
      </c>
      <c r="E84">
        <v>435.23</v>
      </c>
      <c r="F84">
        <v>321.97</v>
      </c>
      <c r="G84">
        <v>322.6</v>
      </c>
      <c r="H84">
        <f>MIN(E84:G84)</f>
      </c>
      <c r="I84">
        <f>H84-D84</f>
      </c>
      <c r="J84" s="2">
        <f>IF(D84=0,"",(H84-D84)/D84)</f>
      </c>
      <c r="K84" t="s">
        <v>44</v>
      </c>
      <c r="L84" t="s">
        <v>67</v>
      </c>
    </row>
    <row r="85" spans="1:12" x14ac:dyDescent="0.25">
      <c r="A85" t="s">
        <v>116</v>
      </c>
      <c r="B85">
        <v>311</v>
      </c>
      <c r="C85">
        <v>3.53</v>
      </c>
      <c r="D85">
        <f>C85*$B$3</f>
      </c>
      <c r="E85">
        <v>381.69</v>
      </c>
      <c r="F85">
        <v>294.7</v>
      </c>
      <c r="G85">
        <v>295.46</v>
      </c>
      <c r="H85">
        <f>MIN(E85:G85)</f>
      </c>
      <c r="I85">
        <f>H85-D85</f>
      </c>
      <c r="J85" s="2">
        <f>IF(D85=0,"",(H85-D85)/D85)</f>
      </c>
      <c r="K85" t="s">
        <v>44</v>
      </c>
      <c r="L85" t="s">
        <v>67</v>
      </c>
    </row>
    <row r="86" spans="1:12" x14ac:dyDescent="0.25">
      <c r="A86" t="s">
        <v>117</v>
      </c>
      <c r="B86">
        <v>189</v>
      </c>
      <c r="C86">
        <v>5.04</v>
      </c>
      <c r="D86">
        <f>C86*$B$3</f>
      </c>
      <c r="E86">
        <v>508.08</v>
      </c>
      <c r="F86">
        <v>438.13</v>
      </c>
      <c r="G86">
        <v>412.88</v>
      </c>
      <c r="H86">
        <f>MIN(E86:G86)</f>
      </c>
      <c r="I86">
        <f>H86-D86</f>
      </c>
      <c r="J86" s="2">
        <f>IF(D86=0,"",(H86-D86)/D86)</f>
      </c>
      <c r="K86" t="s">
        <v>44</v>
      </c>
      <c r="L86" t="s">
        <v>71</v>
      </c>
    </row>
    <row r="87" spans="1:12" x14ac:dyDescent="0.25">
      <c r="A87" t="s">
        <v>118</v>
      </c>
      <c r="B87">
        <v>480</v>
      </c>
      <c r="C87">
        <v>3.91</v>
      </c>
      <c r="D87">
        <f>C87*$B$3</f>
      </c>
      <c r="E87">
        <v>459.72</v>
      </c>
      <c r="F87">
        <v>347.22</v>
      </c>
      <c r="G87">
        <v>315.66</v>
      </c>
      <c r="H87">
        <f>MIN(E87:G87)</f>
      </c>
      <c r="I87">
        <f>H87-D87</f>
      </c>
      <c r="J87" s="2">
        <f>IF(D87=0,"",(H87-D87)/D87)</f>
      </c>
      <c r="K87" t="s">
        <v>44</v>
      </c>
      <c r="L87" t="s">
        <v>71</v>
      </c>
    </row>
    <row r="88" spans="1:12" x14ac:dyDescent="0.25">
      <c r="A88" t="s">
        <v>119</v>
      </c>
      <c r="B88">
        <v>96</v>
      </c>
      <c r="C88">
        <v>4.18</v>
      </c>
      <c r="D88">
        <f>C88*$B$3</f>
      </c>
      <c r="E88">
        <v>412.25</v>
      </c>
      <c r="F88">
        <v>335.86</v>
      </c>
      <c r="G88">
        <v>317.93</v>
      </c>
      <c r="H88">
        <f>MIN(E88:G88)</f>
      </c>
      <c r="I88">
        <f>H88-D88</f>
      </c>
      <c r="J88" s="2">
        <f>IF(D88=0,"",(H88-D88)/D88)</f>
      </c>
      <c r="K88" t="s">
        <v>44</v>
      </c>
      <c r="L88" t="s">
        <v>71</v>
      </c>
    </row>
    <row r="89" spans="1:12" x14ac:dyDescent="0.25">
      <c r="A89" t="s">
        <v>120</v>
      </c>
      <c r="B89">
        <v>112</v>
      </c>
      <c r="C89">
        <v>3.62</v>
      </c>
      <c r="D89">
        <f>C89*$B$3</f>
      </c>
      <c r="E89">
        <v>441.92</v>
      </c>
      <c r="F89">
        <v>415.53</v>
      </c>
      <c r="G89">
        <v>325.63</v>
      </c>
      <c r="H89">
        <f>MIN(E89:G89)</f>
      </c>
      <c r="I89">
        <f>H89-D89</f>
      </c>
      <c r="J89" s="2">
        <f>IF(D89=0,"",(H89-D89)/D89)</f>
      </c>
      <c r="K89" t="s">
        <v>28</v>
      </c>
      <c r="L89" t="s">
        <v>25</v>
      </c>
    </row>
    <row r="90" spans="1:12" x14ac:dyDescent="0.25">
      <c r="A90" t="s">
        <v>121</v>
      </c>
      <c r="B90">
        <v>85</v>
      </c>
      <c r="C90">
        <v>3.08</v>
      </c>
      <c r="D90">
        <f>C90*$B$3</f>
      </c>
      <c r="E90">
        <v>329.17</v>
      </c>
      <c r="F90">
        <v>219.7</v>
      </c>
      <c r="G90">
        <v>222.1</v>
      </c>
      <c r="H90">
        <f>MIN(E90:G90)</f>
      </c>
      <c r="I90">
        <f>H90-D90</f>
      </c>
      <c r="J90" s="2">
        <f>IF(D90=0,"",(H90-D90)/D90)</f>
      </c>
      <c r="K90" t="s">
        <v>28</v>
      </c>
      <c r="L90" t="s">
        <v>42</v>
      </c>
    </row>
    <row r="91" spans="1:12" x14ac:dyDescent="0.25">
      <c r="A91" t="s">
        <v>122</v>
      </c>
      <c r="B91">
        <v>55</v>
      </c>
      <c r="C91">
        <v>4.08</v>
      </c>
      <c r="D91">
        <f>C91*$B$3</f>
      </c>
      <c r="E91">
        <v>534.47</v>
      </c>
      <c r="F91">
        <v>331.06</v>
      </c>
      <c r="G91">
        <v>353.54</v>
      </c>
      <c r="H91">
        <f>MIN(E91:G91)</f>
      </c>
      <c r="I91">
        <f>H91-D91</f>
      </c>
      <c r="J91" s="2">
        <f>IF(D91=0,"",(H91-D91)/D91)</f>
      </c>
      <c r="K91" t="s">
        <v>44</v>
      </c>
      <c r="L91" t="s">
        <v>67</v>
      </c>
    </row>
    <row r="92" spans="1:12" x14ac:dyDescent="0.25">
      <c r="A92" t="s">
        <v>123</v>
      </c>
      <c r="B92">
        <v>165</v>
      </c>
      <c r="C92">
        <v>3.98</v>
      </c>
      <c r="D92">
        <f>C92*$B$3</f>
      </c>
      <c r="E92">
        <v>565.78</v>
      </c>
      <c r="F92">
        <v>338.26</v>
      </c>
      <c r="G92">
        <v>327.02</v>
      </c>
      <c r="H92">
        <f>MIN(E92:G92)</f>
      </c>
      <c r="I92">
        <f>H92-D92</f>
      </c>
      <c r="J92" s="2">
        <f>IF(D92=0,"",(H92-D92)/D92)</f>
      </c>
      <c r="K92" t="s">
        <v>44</v>
      </c>
      <c r="L92" t="s">
        <v>67</v>
      </c>
    </row>
    <row r="93" spans="1:12" x14ac:dyDescent="0.25">
      <c r="A93" t="s">
        <v>124</v>
      </c>
      <c r="B93">
        <v>110</v>
      </c>
      <c r="C93">
        <v>3.84</v>
      </c>
      <c r="D93">
        <f>C93*$B$3</f>
      </c>
      <c r="E93">
        <v>483.59</v>
      </c>
      <c r="F93">
        <v>334.47</v>
      </c>
      <c r="G93">
        <v>325.51</v>
      </c>
      <c r="H93">
        <f>MIN(E93:G93)</f>
      </c>
      <c r="I93">
        <f>H93-D93</f>
      </c>
      <c r="J93" s="2">
        <f>IF(D93=0,"",(H93-D93)/D93)</f>
      </c>
      <c r="K93" t="s">
        <v>21</v>
      </c>
      <c r="L93" t="s">
        <v>25</v>
      </c>
    </row>
    <row r="94" spans="1:12" x14ac:dyDescent="0.25">
      <c r="A94" t="s">
        <v>125</v>
      </c>
      <c r="B94">
        <v>690</v>
      </c>
      <c r="C94">
        <v>2.72</v>
      </c>
      <c r="D94">
        <f>C94*$B$3</f>
      </c>
      <c r="E94">
        <v>345.2</v>
      </c>
      <c r="F94">
        <v>226.01</v>
      </c>
      <c r="G94">
        <v>208.84</v>
      </c>
      <c r="H94">
        <f>MIN(E94:G94)</f>
      </c>
      <c r="I94">
        <f>H94-D94</f>
      </c>
      <c r="J94" s="2">
        <f>IF(D94=0,"",(H94-D94)/D94)</f>
      </c>
      <c r="K94" t="s">
        <v>28</v>
      </c>
      <c r="L94" t="s">
        <v>25</v>
      </c>
    </row>
    <row r="95" spans="1:12" x14ac:dyDescent="0.25">
      <c r="A95" t="s">
        <v>126</v>
      </c>
      <c r="B95">
        <v>60</v>
      </c>
      <c r="C95">
        <v>3.68</v>
      </c>
      <c r="D95">
        <f>C95*$B$3</f>
      </c>
      <c r="E95">
        <v>439.4</v>
      </c>
      <c r="F95">
        <v>314.39</v>
      </c>
      <c r="G95">
        <v>297.98</v>
      </c>
      <c r="H95">
        <f>MIN(E95:G95)</f>
      </c>
      <c r="I95">
        <f>H95-D95</f>
      </c>
      <c r="J95" s="2">
        <f>IF(D95=0,"",(H95-D95)/D95)</f>
      </c>
      <c r="K95" t="s">
        <v>44</v>
      </c>
      <c r="L95" t="s">
        <v>67</v>
      </c>
    </row>
    <row r="96" spans="1:12" x14ac:dyDescent="0.25">
      <c r="A96" t="s">
        <v>127</v>
      </c>
      <c r="B96">
        <v>39</v>
      </c>
      <c r="C96">
        <v>3.94</v>
      </c>
      <c r="D96">
        <f>C96*$B$3</f>
      </c>
      <c r="E96">
        <v>487.75</v>
      </c>
      <c r="F96">
        <v>348.86</v>
      </c>
      <c r="G96">
        <v>351.39</v>
      </c>
      <c r="H96">
        <f>MIN(E96:G96)</f>
      </c>
      <c r="I96">
        <f>H96-D96</f>
      </c>
      <c r="J96" s="2">
        <f>IF(D96=0,"",(H96-D96)/D96)</f>
      </c>
      <c r="K96" t="s">
        <v>28</v>
      </c>
      <c r="L96" t="s">
        <v>19</v>
      </c>
    </row>
    <row r="97" spans="1:12" x14ac:dyDescent="0.25">
      <c r="A97" t="s">
        <v>128</v>
      </c>
      <c r="B97">
        <v>72</v>
      </c>
      <c r="C97">
        <v>3.65</v>
      </c>
      <c r="D97">
        <f>C97*$B$3</f>
      </c>
      <c r="E97">
        <v>512.38</v>
      </c>
      <c r="F97">
        <v>293.18</v>
      </c>
      <c r="G97">
        <v>281.44</v>
      </c>
      <c r="H97">
        <f>MIN(E97:G97)</f>
      </c>
      <c r="I97">
        <f>H97-D97</f>
      </c>
      <c r="J97" s="2">
        <f>IF(D97=0,"",(H97-D97)/D97)</f>
      </c>
      <c r="K97" t="s">
        <v>44</v>
      </c>
      <c r="L97" t="s">
        <v>67</v>
      </c>
    </row>
    <row r="98" spans="1:12" x14ac:dyDescent="0.25">
      <c r="A98" t="s">
        <v>129</v>
      </c>
      <c r="B98">
        <v>83</v>
      </c>
      <c r="C98">
        <v>3.02</v>
      </c>
      <c r="D98">
        <f>C98*$B$3</f>
      </c>
      <c r="E98">
        <v>324.87</v>
      </c>
      <c r="F98">
        <v>238.76</v>
      </c>
      <c r="G98">
        <v>236.11</v>
      </c>
      <c r="H98">
        <f>MIN(E98:G98)</f>
      </c>
      <c r="I98">
        <f>H98-D98</f>
      </c>
      <c r="J98" s="2">
        <f>IF(D98=0,"",(H98-D98)/D98)</f>
      </c>
      <c r="K98" t="s">
        <v>44</v>
      </c>
      <c r="L98" t="s">
        <v>71</v>
      </c>
    </row>
    <row r="99" spans="1:12" x14ac:dyDescent="0.25">
      <c r="A99" t="s">
        <v>130</v>
      </c>
      <c r="B99">
        <v>45</v>
      </c>
      <c r="C99">
        <v>3.63</v>
      </c>
      <c r="D99">
        <f>C99*$B$3</f>
      </c>
      <c r="E99">
        <v>432.58</v>
      </c>
      <c r="F99">
        <v>273.74</v>
      </c>
      <c r="G99">
        <v>267.68</v>
      </c>
      <c r="H99">
        <f>MIN(E99:G99)</f>
      </c>
      <c r="I99">
        <f>H99-D99</f>
      </c>
      <c r="J99" s="2">
        <f>IF(D99=0,"",(H99-D99)/D99)</f>
      </c>
      <c r="K99" t="s">
        <v>44</v>
      </c>
      <c r="L99" t="s">
        <v>71</v>
      </c>
    </row>
    <row r="100" spans="1:12" x14ac:dyDescent="0.25">
      <c r="A100" t="s">
        <v>131</v>
      </c>
      <c r="B100">
        <v>851</v>
      </c>
      <c r="C100">
        <v>3.79</v>
      </c>
      <c r="D100">
        <f>C100*$B$3</f>
      </c>
      <c r="E100">
        <v>443.69</v>
      </c>
      <c r="F100">
        <v>324.5</v>
      </c>
      <c r="G100">
        <v>331.44</v>
      </c>
      <c r="H100">
        <f>MIN(E100:G100)</f>
      </c>
      <c r="I100">
        <f>H100-D100</f>
      </c>
      <c r="J100" s="2">
        <f>IF(D100=0,"",(H100-D100)/D100)</f>
      </c>
      <c r="K100" t="s">
        <v>18</v>
      </c>
      <c r="L100" t="s">
        <v>42</v>
      </c>
    </row>
    <row r="101" spans="1:12" x14ac:dyDescent="0.25">
      <c r="A101" t="s">
        <v>132</v>
      </c>
      <c r="B101">
        <v>131</v>
      </c>
      <c r="C101">
        <v>3.65</v>
      </c>
      <c r="D101">
        <f>C101*$B$3</f>
      </c>
      <c r="E101">
        <v>357.07</v>
      </c>
      <c r="F101">
        <v>313.26</v>
      </c>
      <c r="G101">
        <v>294.19</v>
      </c>
      <c r="H101">
        <f>MIN(E101:G101)</f>
      </c>
      <c r="I101">
        <f>H101-D101</f>
      </c>
      <c r="J101" s="2">
        <f>IF(D101=0,"",(H101-D101)/D101)</f>
      </c>
      <c r="K101" t="s">
        <v>44</v>
      </c>
      <c r="L101" t="s">
        <v>67</v>
      </c>
    </row>
    <row r="102" spans="1:12" x14ac:dyDescent="0.25">
      <c r="A102" t="s">
        <v>133</v>
      </c>
      <c r="B102">
        <v>104</v>
      </c>
      <c r="C102">
        <v>3.6</v>
      </c>
      <c r="D102">
        <f>C102*$B$3</f>
      </c>
      <c r="E102">
        <v>416.54</v>
      </c>
      <c r="F102">
        <v>250.88</v>
      </c>
      <c r="G102">
        <v>237.12</v>
      </c>
      <c r="H102">
        <f>MIN(E102:G102)</f>
      </c>
      <c r="I102">
        <f>H102-D102</f>
      </c>
      <c r="J102" s="2">
        <f>IF(D102=0,"",(H102-D102)/D102)</f>
      </c>
      <c r="K102" t="s">
        <v>44</v>
      </c>
      <c r="L102" t="s">
        <v>71</v>
      </c>
    </row>
    <row r="103" spans="1:12" x14ac:dyDescent="0.25">
      <c r="A103" t="s">
        <v>134</v>
      </c>
      <c r="B103">
        <v>364</v>
      </c>
      <c r="C103">
        <v>2.86</v>
      </c>
      <c r="D103">
        <f>C103*$B$3</f>
      </c>
      <c r="E103">
        <v>287.5</v>
      </c>
      <c r="F103">
        <v>239.9</v>
      </c>
      <c r="G103">
        <v>236.49</v>
      </c>
      <c r="H103">
        <f>MIN(E103:G103)</f>
      </c>
      <c r="I103">
        <f>H103-D103</f>
      </c>
      <c r="J103" s="2">
        <f>IF(D103=0,"",(H103-D103)/D103)</f>
      </c>
      <c r="K103" t="s">
        <v>44</v>
      </c>
      <c r="L103" t="s">
        <v>71</v>
      </c>
    </row>
    <row r="104" spans="1:12" x14ac:dyDescent="0.25">
      <c r="A104" t="s">
        <v>135</v>
      </c>
      <c r="B104">
        <v>55</v>
      </c>
      <c r="C104">
        <v>2.93</v>
      </c>
      <c r="D104">
        <f>C104*$B$3</f>
      </c>
      <c r="E104">
        <v>477.65</v>
      </c>
      <c r="F104">
        <v>266.29</v>
      </c>
      <c r="G104">
        <v>216.67</v>
      </c>
      <c r="H104">
        <f>MIN(E104:G104)</f>
      </c>
      <c r="I104">
        <f>H104-D104</f>
      </c>
      <c r="J104" s="2">
        <f>IF(D104=0,"",(H104-D104)/D104)</f>
      </c>
      <c r="K104" t="s">
        <v>44</v>
      </c>
      <c r="L104" t="s">
        <v>67</v>
      </c>
    </row>
    <row r="105" spans="1:12" x14ac:dyDescent="0.25">
      <c r="A105" t="s">
        <v>136</v>
      </c>
      <c r="B105">
        <v>52</v>
      </c>
      <c r="C105">
        <v>3.35</v>
      </c>
      <c r="D105">
        <f>C105*$B$3</f>
      </c>
      <c r="E105">
        <v>482.7</v>
      </c>
      <c r="F105">
        <v>262.37</v>
      </c>
      <c r="G105">
        <v>294.19</v>
      </c>
      <c r="H105">
        <f>MIN(E105:G105)</f>
      </c>
      <c r="I105">
        <f>H105-D105</f>
      </c>
      <c r="J105" s="2">
        <f>IF(D105=0,"",(H105-D105)/D105)</f>
      </c>
      <c r="K105" t="s">
        <v>44</v>
      </c>
      <c r="L105" t="s">
        <v>67</v>
      </c>
    </row>
    <row r="106" spans="1:12" x14ac:dyDescent="0.25">
      <c r="A106" t="s">
        <v>137</v>
      </c>
      <c r="B106">
        <v>89</v>
      </c>
      <c r="C106">
        <v>3.16</v>
      </c>
      <c r="D106">
        <f>C106*$B$3</f>
      </c>
      <c r="E106">
        <v>344.45</v>
      </c>
      <c r="F106">
        <v>241.79</v>
      </c>
      <c r="G106">
        <v>238.01</v>
      </c>
      <c r="H106">
        <f>MIN(E106:G106)</f>
      </c>
      <c r="I106">
        <f>H106-D106</f>
      </c>
      <c r="J106" s="2">
        <f>IF(D106=0,"",(H106-D106)/D106)</f>
      </c>
      <c r="K106" t="s">
        <v>44</v>
      </c>
      <c r="L106" t="s">
        <v>71</v>
      </c>
    </row>
    <row r="107" spans="1:12" x14ac:dyDescent="0.25">
      <c r="A107" t="s">
        <v>138</v>
      </c>
      <c r="B107">
        <v>247</v>
      </c>
      <c r="C107">
        <v>2.8</v>
      </c>
      <c r="D107">
        <f>C107*$B$3</f>
      </c>
      <c r="E107">
        <v>323.99</v>
      </c>
      <c r="F107">
        <v>257.32</v>
      </c>
      <c r="G107">
        <v>241.29</v>
      </c>
      <c r="H107">
        <f>MIN(E107:G107)</f>
      </c>
      <c r="I107">
        <f>H107-D107</f>
      </c>
      <c r="J107" s="2">
        <f>IF(D107=0,"",(H107-D107)/D107)</f>
      </c>
      <c r="K107" t="s">
        <v>18</v>
      </c>
      <c r="L107" t="s">
        <v>42</v>
      </c>
    </row>
    <row r="108" spans="1:12" x14ac:dyDescent="0.25">
      <c r="A108" t="s">
        <v>139</v>
      </c>
      <c r="B108">
        <v>40</v>
      </c>
      <c r="C108">
        <v>4.49</v>
      </c>
      <c r="D108">
        <f>C108*$B$3</f>
      </c>
      <c r="E108">
        <v>322.35</v>
      </c>
      <c r="F108">
        <v>225.63</v>
      </c>
      <c r="G108">
        <v>213.26</v>
      </c>
      <c r="H108">
        <f>MIN(E108:G108)</f>
      </c>
      <c r="I108">
        <f>H108-D108</f>
      </c>
      <c r="J108" s="2">
        <f>IF(D108=0,"",(H108-D108)/D108)</f>
      </c>
      <c r="K108" t="s">
        <v>44</v>
      </c>
      <c r="L108" t="s">
        <v>67</v>
      </c>
    </row>
    <row r="109" spans="1:12" x14ac:dyDescent="0.25">
      <c r="A109" t="s">
        <v>140</v>
      </c>
      <c r="B109">
        <v>354</v>
      </c>
      <c r="C109">
        <v>2.74</v>
      </c>
      <c r="D109">
        <f>C109*$B$3</f>
      </c>
      <c r="E109">
        <v>341.79</v>
      </c>
      <c r="F109">
        <v>225.88</v>
      </c>
      <c r="G109">
        <v>223.49</v>
      </c>
      <c r="H109">
        <f>MIN(E109:G109)</f>
      </c>
      <c r="I109">
        <f>H109-D109</f>
      </c>
      <c r="J109" s="2">
        <f>IF(D109=0,"",(H109-D109)/D109)</f>
      </c>
      <c r="K109" t="s">
        <v>44</v>
      </c>
      <c r="L109" t="s">
        <v>67</v>
      </c>
    </row>
    <row r="110" spans="1:12" x14ac:dyDescent="0.25">
      <c r="A110" t="s">
        <v>141</v>
      </c>
      <c r="B110">
        <v>348</v>
      </c>
      <c r="C110">
        <v>2.69</v>
      </c>
      <c r="D110">
        <f>C110*$B$3</f>
      </c>
      <c r="E110">
        <v>324.87</v>
      </c>
      <c r="F110">
        <v>228.54</v>
      </c>
      <c r="G110">
        <v>228.54</v>
      </c>
      <c r="H110">
        <f>MIN(E110:G110)</f>
      </c>
      <c r="I110">
        <f>H110-D110</f>
      </c>
      <c r="J110" s="2">
        <f>IF(D110=0,"",(H110-D110)/D110)</f>
      </c>
      <c r="K110" t="s">
        <v>18</v>
      </c>
      <c r="L110" t="s">
        <v>25</v>
      </c>
    </row>
    <row r="111" spans="1:12" x14ac:dyDescent="0.25">
      <c r="A111" t="s">
        <v>142</v>
      </c>
      <c r="B111">
        <v>159</v>
      </c>
      <c r="C111">
        <v>2.75</v>
      </c>
      <c r="D111">
        <f>C111*$B$3</f>
      </c>
      <c r="E111">
        <v>341.79</v>
      </c>
      <c r="F111">
        <v>231.82</v>
      </c>
      <c r="G111">
        <v>229.8</v>
      </c>
      <c r="H111">
        <f>MIN(E111:G111)</f>
      </c>
      <c r="I111">
        <f>H111-D111</f>
      </c>
      <c r="J111" s="2">
        <f>IF(D111=0,"",(H111-D111)/D111)</f>
      </c>
      <c r="K111" t="s">
        <v>44</v>
      </c>
      <c r="L111" t="s">
        <v>71</v>
      </c>
    </row>
    <row r="112" spans="1:12" x14ac:dyDescent="0.25">
      <c r="A112" t="s">
        <v>143</v>
      </c>
      <c r="B112">
        <v>57</v>
      </c>
      <c r="C112">
        <v>2.44</v>
      </c>
      <c r="D112">
        <f>C112*$B$3</f>
      </c>
      <c r="E112">
        <v>270.58</v>
      </c>
      <c r="F112">
        <v>185.99</v>
      </c>
      <c r="G112">
        <v>187.75</v>
      </c>
      <c r="H112">
        <f>MIN(E112:G112)</f>
      </c>
      <c r="I112">
        <f>H112-D112</f>
      </c>
      <c r="J112" s="2">
        <f>IF(D112=0,"",(H112-D112)/D112)</f>
      </c>
      <c r="K112" t="s">
        <v>59</v>
      </c>
      <c r="L112" t="s">
        <v>42</v>
      </c>
    </row>
    <row r="113" spans="1:12" x14ac:dyDescent="0.25">
      <c r="A113" t="s">
        <v>144</v>
      </c>
      <c r="B113">
        <v>220</v>
      </c>
      <c r="C113">
        <v>2.65</v>
      </c>
      <c r="D113">
        <f>C113*$B$3</f>
      </c>
      <c r="E113">
        <v>302.02</v>
      </c>
      <c r="F113">
        <v>239.77</v>
      </c>
      <c r="G113">
        <v>233.59</v>
      </c>
      <c r="H113">
        <f>MIN(E113:G113)</f>
      </c>
      <c r="I113">
        <f>H113-D113</f>
      </c>
      <c r="J113" s="2">
        <f>IF(D113=0,"",(H113-D113)/D113)</f>
      </c>
      <c r="K113" t="s">
        <v>18</v>
      </c>
      <c r="L113" t="s">
        <v>25</v>
      </c>
    </row>
    <row r="114" spans="1:12" x14ac:dyDescent="0.25">
      <c r="A114" t="s">
        <v>145</v>
      </c>
      <c r="B114">
        <v>41</v>
      </c>
      <c r="C114">
        <v>2.64</v>
      </c>
      <c r="D114">
        <f>C114*$B$3</f>
      </c>
      <c r="E114">
        <v>297.73</v>
      </c>
      <c r="F114">
        <v>214.65</v>
      </c>
      <c r="G114">
        <v>212.75</v>
      </c>
      <c r="H114">
        <f>MIN(E114:G114)</f>
      </c>
      <c r="I114">
        <f>H114-D114</f>
      </c>
      <c r="J114" s="2">
        <f>IF(D114=0,"",(H114-D114)/D114)</f>
      </c>
      <c r="K114" t="s">
        <v>28</v>
      </c>
      <c r="L114" t="s">
        <v>25</v>
      </c>
    </row>
    <row r="115" spans="1:12" x14ac:dyDescent="0.25">
      <c r="A115" t="s">
        <v>146</v>
      </c>
      <c r="B115">
        <v>395</v>
      </c>
      <c r="C115">
        <v>2.45</v>
      </c>
      <c r="D115">
        <f>C115*$B$3</f>
      </c>
      <c r="E115">
        <v>285.86</v>
      </c>
      <c r="F115">
        <v>190.03</v>
      </c>
      <c r="G115">
        <v>189.39</v>
      </c>
      <c r="H115">
        <f>MIN(E115:G115)</f>
      </c>
      <c r="I115">
        <f>H115-D115</f>
      </c>
      <c r="J115" s="2">
        <f>IF(D115=0,"",(H115-D115)/D115)</f>
      </c>
      <c r="K115" t="s">
        <v>44</v>
      </c>
      <c r="L115" t="s">
        <v>71</v>
      </c>
    </row>
    <row r="116" spans="1:12" x14ac:dyDescent="0.25">
      <c r="A116" t="s">
        <v>147</v>
      </c>
      <c r="B116">
        <v>60</v>
      </c>
      <c r="C116">
        <v>2.2</v>
      </c>
      <c r="D116">
        <f>C116*$B$3</f>
      </c>
      <c r="E116">
        <v>202.65</v>
      </c>
      <c r="F116">
        <v>163.01</v>
      </c>
      <c r="G116">
        <v>175.38</v>
      </c>
      <c r="H116">
        <f>MIN(E116:G116)</f>
      </c>
      <c r="I116">
        <f>H116-D116</f>
      </c>
      <c r="J116" s="2">
        <f>IF(D116=0,"",(H116-D116)/D116)</f>
      </c>
      <c r="K116" t="s">
        <v>44</v>
      </c>
      <c r="L116" t="s">
        <v>71</v>
      </c>
    </row>
    <row r="117" spans="1:12" x14ac:dyDescent="0.25">
      <c r="A117" t="s">
        <v>148</v>
      </c>
      <c r="B117">
        <v>386</v>
      </c>
      <c r="C117">
        <v>2.15</v>
      </c>
      <c r="D117">
        <f>C117*$B$3</f>
      </c>
      <c r="E117">
        <v>250.25</v>
      </c>
      <c r="F117">
        <v>181.82</v>
      </c>
      <c r="G117">
        <v>175.13</v>
      </c>
      <c r="H117">
        <f>MIN(E117:G117)</f>
      </c>
      <c r="I117">
        <f>H117-D117</f>
      </c>
      <c r="J117" s="2">
        <f>IF(D117=0,"",(H117-D117)/D117)</f>
      </c>
      <c r="K117" t="s">
        <v>28</v>
      </c>
      <c r="L117" t="s">
        <v>42</v>
      </c>
    </row>
    <row r="118" spans="1:12" x14ac:dyDescent="0.25">
      <c r="A118" t="s">
        <v>149</v>
      </c>
      <c r="B118">
        <v>66</v>
      </c>
      <c r="C118">
        <v>2.81</v>
      </c>
      <c r="D118">
        <f>C118*$B$3</f>
      </c>
      <c r="E118">
        <v>296.09</v>
      </c>
      <c r="F118">
        <v>222.22</v>
      </c>
      <c r="G118">
        <v>219.7</v>
      </c>
      <c r="H118">
        <f>MIN(E118:G118)</f>
      </c>
      <c r="I118">
        <f>H118-D118</f>
      </c>
      <c r="J118" s="2">
        <f>IF(D118=0,"",(H118-D118)/D118)</f>
      </c>
      <c r="K118" t="s">
        <v>28</v>
      </c>
      <c r="L118" t="s">
        <v>42</v>
      </c>
    </row>
    <row r="119" spans="1:12" x14ac:dyDescent="0.25">
      <c r="A119" t="s">
        <v>150</v>
      </c>
      <c r="B119">
        <v>142</v>
      </c>
      <c r="C119">
        <v>2.35</v>
      </c>
      <c r="D119">
        <f>C119*$B$3</f>
      </c>
      <c r="E119">
        <v>287.5</v>
      </c>
      <c r="F119">
        <v>202.9</v>
      </c>
      <c r="G119">
        <v>190.53</v>
      </c>
      <c r="H119">
        <f>MIN(E119:G119)</f>
      </c>
      <c r="I119">
        <f>H119-D119</f>
      </c>
      <c r="J119" s="2">
        <f>IF(D119=0,"",(H119-D119)/D119)</f>
      </c>
      <c r="K119" t="s">
        <v>28</v>
      </c>
      <c r="L119" t="s">
        <v>42</v>
      </c>
    </row>
    <row r="120" spans="1:12" x14ac:dyDescent="0.25">
      <c r="A120" t="s">
        <v>151</v>
      </c>
      <c r="B120">
        <v>217</v>
      </c>
      <c r="C120">
        <v>2.09</v>
      </c>
      <c r="D120">
        <f>C120*$B$3</f>
      </c>
      <c r="E120">
        <v>255.3</v>
      </c>
      <c r="F120">
        <v>166.67</v>
      </c>
      <c r="G120">
        <v>162.88</v>
      </c>
      <c r="H120">
        <f>MIN(E120:G120)</f>
      </c>
      <c r="I120">
        <f>H120-D120</f>
      </c>
      <c r="J120" s="2">
        <f>IF(D120=0,"",(H120-D120)/D120)</f>
      </c>
      <c r="K120" t="s">
        <v>44</v>
      </c>
      <c r="L120" t="s">
        <v>71</v>
      </c>
    </row>
    <row r="121" spans="1:12" x14ac:dyDescent="0.25">
      <c r="A121" t="s">
        <v>152</v>
      </c>
      <c r="B121">
        <v>41</v>
      </c>
      <c r="C121">
        <v>3</v>
      </c>
      <c r="D121">
        <f>C121*$B$3</f>
      </c>
      <c r="E121">
        <v>296.84</v>
      </c>
      <c r="F121">
        <v>198.11</v>
      </c>
      <c r="G121">
        <v>220.96</v>
      </c>
      <c r="H121">
        <f>MIN(E121:G121)</f>
      </c>
      <c r="I121">
        <f>H121-D121</f>
      </c>
      <c r="J121" s="2">
        <f>IF(D121=0,"",(H121-D121)/D121)</f>
      </c>
      <c r="K121" t="s">
        <v>59</v>
      </c>
      <c r="L121" t="s">
        <v>42</v>
      </c>
    </row>
    <row r="122" spans="1:12" x14ac:dyDescent="0.25">
      <c r="A122" t="s">
        <v>153</v>
      </c>
      <c r="B122">
        <v>102</v>
      </c>
      <c r="C122">
        <v>1.94</v>
      </c>
      <c r="D122">
        <f>C122*$B$3</f>
      </c>
      <c r="E122">
        <v>247.73</v>
      </c>
      <c r="F122">
        <v>145.2</v>
      </c>
      <c r="G122">
        <v>168.81</v>
      </c>
      <c r="H122">
        <f>MIN(E122:G122)</f>
      </c>
      <c r="I122">
        <f>H122-D122</f>
      </c>
      <c r="J122" s="2">
        <f>IF(D122=0,"",(H122-D122)/D122)</f>
      </c>
      <c r="K122" t="s">
        <v>28</v>
      </c>
      <c r="L122" t="s">
        <v>25</v>
      </c>
    </row>
    <row r="123" spans="1:12" x14ac:dyDescent="0.25">
      <c r="A123" t="s">
        <v>154</v>
      </c>
      <c r="B123">
        <v>35</v>
      </c>
      <c r="C123">
        <v>1.35</v>
      </c>
      <c r="D123">
        <f>C123*$B$3</f>
      </c>
      <c r="E123">
        <v>169.57</v>
      </c>
      <c r="F123">
        <v>113.51</v>
      </c>
      <c r="G123">
        <v>113.76</v>
      </c>
      <c r="H123">
        <f>MIN(E123:G123)</f>
      </c>
      <c r="I123">
        <f>H123-D123</f>
      </c>
      <c r="J123" s="2">
        <f>IF(D123=0,"",(H123-D123)/D123)</f>
      </c>
      <c r="K123" t="s">
        <v>44</v>
      </c>
      <c r="L123" t="s">
        <v>67</v>
      </c>
    </row>
    <row r="124" spans="1:12" x14ac:dyDescent="0.25">
      <c r="A124" t="s">
        <v>155</v>
      </c>
      <c r="B124">
        <v>132</v>
      </c>
      <c r="C124">
        <v>2.02</v>
      </c>
      <c r="D124">
        <f>C124*$B$3</f>
      </c>
      <c r="E124">
        <v>251.01</v>
      </c>
      <c r="F124">
        <v>179.17</v>
      </c>
      <c r="G124">
        <v>166.54</v>
      </c>
      <c r="H124">
        <f>MIN(E124:G124)</f>
      </c>
      <c r="I124">
        <f>H124-D124</f>
      </c>
      <c r="J124" s="2">
        <f>IF(D124=0,"",(H124-D124)/D124)</f>
      </c>
      <c r="K124" t="s">
        <v>21</v>
      </c>
      <c r="L124" t="s">
        <v>42</v>
      </c>
    </row>
    <row r="125" spans="1:12" x14ac:dyDescent="0.25">
      <c r="A125" t="s">
        <v>156</v>
      </c>
      <c r="B125">
        <v>68</v>
      </c>
      <c r="C125">
        <v>1.46</v>
      </c>
      <c r="D125">
        <f>C125*$B$3</f>
      </c>
      <c r="E125">
        <v>190.03</v>
      </c>
      <c r="F125">
        <v>138.51</v>
      </c>
      <c r="G125">
        <v>125.25</v>
      </c>
      <c r="H125">
        <f>MIN(E125:G125)</f>
      </c>
      <c r="I125">
        <f>H125-D125</f>
      </c>
      <c r="J125" s="2">
        <f>IF(D125=0,"",(H125-D125)/D125)</f>
      </c>
      <c r="K125" t="s">
        <v>44</v>
      </c>
      <c r="L125" t="s">
        <v>71</v>
      </c>
    </row>
    <row r="126" spans="1:12" x14ac:dyDescent="0.25">
      <c r="A126" t="s">
        <v>157</v>
      </c>
      <c r="B126">
        <v>76</v>
      </c>
      <c r="C126">
        <v>1.22</v>
      </c>
      <c r="D126">
        <f>C126*$B$3</f>
      </c>
      <c r="E126">
        <v>110.23</v>
      </c>
      <c r="F126">
        <v>94.44</v>
      </c>
      <c r="G126">
        <v>90.15</v>
      </c>
      <c r="H126">
        <f>MIN(E126:G126)</f>
      </c>
      <c r="I126">
        <f>H126-D126</f>
      </c>
      <c r="J126" s="2">
        <f>IF(D126=0,"",(H126-D126)/D126)</f>
      </c>
      <c r="K126" t="s">
        <v>44</v>
      </c>
      <c r="L126" t="s">
        <v>67</v>
      </c>
    </row>
    <row r="127" spans="1:12" x14ac:dyDescent="0.25">
      <c r="A127" t="s">
        <v>158</v>
      </c>
      <c r="B127">
        <v>156</v>
      </c>
      <c r="C127">
        <v>1.23</v>
      </c>
      <c r="D127">
        <f>C127*$B$3</f>
      </c>
      <c r="E127">
        <v>207.83</v>
      </c>
      <c r="F127">
        <v>104.04</v>
      </c>
      <c r="G127">
        <v>104.67</v>
      </c>
      <c r="H127">
        <f>MIN(E127:G127)</f>
      </c>
      <c r="I127">
        <f>H127-D127</f>
      </c>
      <c r="J127" s="2">
        <f>IF(D127=0,"",(H127-D127)/D127)</f>
      </c>
      <c r="K127" t="s">
        <v>44</v>
      </c>
      <c r="L127" t="s">
        <v>67</v>
      </c>
    </row>
    <row r="128" spans="1:12" x14ac:dyDescent="0.25">
      <c r="A128" t="s">
        <v>159</v>
      </c>
      <c r="B128">
        <v>169</v>
      </c>
      <c r="C128">
        <v>1.18</v>
      </c>
      <c r="D128">
        <f>C128*$B$3</f>
      </c>
      <c r="E128">
        <v>130.56</v>
      </c>
      <c r="F128">
        <v>92.68</v>
      </c>
      <c r="G128">
        <v>88.26</v>
      </c>
      <c r="H128">
        <f>MIN(E128:G128)</f>
      </c>
      <c r="I128">
        <f>H128-D128</f>
      </c>
      <c r="J128" s="2">
        <f>IF(D128=0,"",(H128-D128)/D128)</f>
      </c>
      <c r="K128" t="s">
        <v>44</v>
      </c>
      <c r="L128" t="s">
        <v>71</v>
      </c>
    </row>
    <row r="129" spans="1:12" x14ac:dyDescent="0.25">
      <c r="A129" t="s">
        <v>160</v>
      </c>
      <c r="B129">
        <v>222</v>
      </c>
      <c r="C129">
        <v>1.03</v>
      </c>
      <c r="D129">
        <f>C129*$B$3</f>
      </c>
      <c r="E129">
        <v>112.75</v>
      </c>
      <c r="F129">
        <v>86.62</v>
      </c>
      <c r="G129">
        <v>87.12</v>
      </c>
      <c r="H129">
        <f>MIN(E129:G129)</f>
      </c>
      <c r="I129">
        <f>H129-D129</f>
      </c>
      <c r="J129" s="2">
        <f>IF(D129=0,"",(H129-D129)/D129)</f>
      </c>
      <c r="K129" t="s">
        <v>44</v>
      </c>
      <c r="L129" t="s">
        <v>71</v>
      </c>
    </row>
    <row r="130" spans="1:12" x14ac:dyDescent="0.25">
      <c r="A130" t="s">
        <v>161</v>
      </c>
      <c r="B130">
        <v>19</v>
      </c>
      <c r="C130">
        <v>0.91</v>
      </c>
      <c r="D130">
        <f>C130*$B$3</f>
      </c>
      <c r="E130">
        <v>107.7</v>
      </c>
      <c r="F130">
        <v>73.61</v>
      </c>
      <c r="G130">
        <v>73.99</v>
      </c>
      <c r="H130">
        <f>MIN(E130:G130)</f>
      </c>
      <c r="I130">
        <f>H130-D130</f>
      </c>
      <c r="J130" s="2">
        <f>IF(D130=0,"",(H130-D130)/D130)</f>
      </c>
      <c r="K130" t="s">
        <v>44</v>
      </c>
      <c r="L130" t="s">
        <v>71</v>
      </c>
    </row>
    <row r="131" spans="1:12" x14ac:dyDescent="0.25">
      <c r="A131" t="s">
        <v>162</v>
      </c>
      <c r="B131">
        <v>80</v>
      </c>
      <c r="C131">
        <v>0.81</v>
      </c>
      <c r="D131">
        <f>C131*$B$3</f>
      </c>
      <c r="E131">
        <v>92.42</v>
      </c>
      <c r="F131">
        <v>63.01</v>
      </c>
      <c r="G131">
        <v>62.88</v>
      </c>
      <c r="H131">
        <f>MIN(E131:G131)</f>
      </c>
      <c r="I131">
        <f>H131-D131</f>
      </c>
      <c r="J131" s="2">
        <f>IF(D131=0,"",(H131-D131)/D131)</f>
      </c>
      <c r="K131" t="s">
        <v>18</v>
      </c>
      <c r="L131" t="s">
        <v>25</v>
      </c>
    </row>
    <row r="132" spans="1:12" x14ac:dyDescent="0.25">
      <c r="A132" t="s">
        <v>163</v>
      </c>
      <c r="B132">
        <v>991</v>
      </c>
      <c r="C132">
        <v>1.08</v>
      </c>
      <c r="D132">
        <f>C132*$B$3</f>
      </c>
      <c r="E132">
        <v>119.57</v>
      </c>
      <c r="F132">
        <v>74.24</v>
      </c>
      <c r="G132">
        <v>75.51</v>
      </c>
      <c r="H132">
        <f>MIN(E132:G132)</f>
      </c>
      <c r="I132">
        <f>H132-D132</f>
      </c>
      <c r="J132" s="2">
        <f>IF(D132=0,"",(H132-D132)/D132)</f>
      </c>
      <c r="K132" t="s">
        <v>44</v>
      </c>
      <c r="L132" t="s">
        <v>71</v>
      </c>
    </row>
    <row r="133" spans="1:12" x14ac:dyDescent="0.25">
      <c r="A133" t="s">
        <v>164</v>
      </c>
      <c r="B133">
        <v>748</v>
      </c>
      <c r="C133">
        <v>0.52</v>
      </c>
      <c r="D133">
        <f>C133*$B$3</f>
      </c>
      <c r="E133">
        <v>68.69</v>
      </c>
      <c r="F133">
        <v>41.16</v>
      </c>
      <c r="G133">
        <v>41.67</v>
      </c>
      <c r="H133">
        <f>MIN(E133:G133)</f>
      </c>
      <c r="I133">
        <f>H133-D133</f>
      </c>
      <c r="J133" s="2">
        <f>IF(D133=0,"",(H133-D133)/D133)</f>
      </c>
      <c r="K133" t="s">
        <v>28</v>
      </c>
      <c r="L133" t="s">
        <v>25</v>
      </c>
    </row>
    <row r="134" spans="1:12" x14ac:dyDescent="0.25">
      <c r="A134" t="s">
        <v>165</v>
      </c>
      <c r="B134">
        <v>226</v>
      </c>
      <c r="C134">
        <v>0.63</v>
      </c>
      <c r="D134">
        <f>C134*$B$3</f>
      </c>
      <c r="E134">
        <v>70.33</v>
      </c>
      <c r="F134">
        <v>52.78</v>
      </c>
      <c r="G134">
        <v>50.38</v>
      </c>
      <c r="H134">
        <f>MIN(E134:G134)</f>
      </c>
      <c r="I134">
        <f>H134-D134</f>
      </c>
      <c r="J134" s="2">
        <f>IF(D134=0,"",(H134-D134)/D134)</f>
      </c>
      <c r="K134" t="s">
        <v>28</v>
      </c>
      <c r="L134" t="s">
        <v>42</v>
      </c>
    </row>
    <row r="135" spans="1:12" x14ac:dyDescent="0.25">
      <c r="A135" t="s">
        <v>166</v>
      </c>
      <c r="B135">
        <v>329</v>
      </c>
      <c r="C135">
        <v>0.44</v>
      </c>
      <c r="D135">
        <f>C135*$B$3</f>
      </c>
      <c r="E135">
        <v>43.18</v>
      </c>
      <c r="F135">
        <v>35.1</v>
      </c>
      <c r="G135">
        <v>32.32</v>
      </c>
      <c r="H135">
        <f>MIN(E135:G135)</f>
      </c>
      <c r="I135">
        <f>H135-D135</f>
      </c>
      <c r="J135" s="2">
        <f>IF(D135=0,"",(H135-D135)/D135)</f>
      </c>
      <c r="K135" t="s">
        <v>18</v>
      </c>
      <c r="L135" t="s">
        <v>73</v>
      </c>
    </row>
    <row r="136" spans="1:12" x14ac:dyDescent="0.25">
      <c r="A136" t="s">
        <v>167</v>
      </c>
      <c r="B136">
        <v>90</v>
      </c>
      <c r="C136">
        <v>0.37</v>
      </c>
      <c r="D136">
        <f>C136*$B$3</f>
      </c>
      <c r="E136">
        <v>51.64</v>
      </c>
      <c r="F136">
        <v>30.56</v>
      </c>
      <c r="G136">
        <v>31.06</v>
      </c>
      <c r="H136">
        <f>MIN(E136:G136)</f>
      </c>
      <c r="I136">
        <f>H136-D136</f>
      </c>
      <c r="J136" s="2">
        <f>IF(D136=0,"",(H136-D136)/D136)</f>
      </c>
      <c r="K136" t="s">
        <v>59</v>
      </c>
      <c r="L13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2026-09-28T13:49:38Z</dcterms:created>
  <dcterms:modified xsi:type="dcterms:W3CDTF">2026-09-28T13:49:38Z</dcterms:modified>
</cp:coreProperties>
</file>